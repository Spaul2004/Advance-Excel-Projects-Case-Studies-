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6DFE4A6-EEC8-441E-8F13-B174007AD9F5}" xr6:coauthVersionLast="47" xr6:coauthVersionMax="47" xr10:uidLastSave="{00000000-0000-0000-0000-000000000000}"/>
  <bookViews>
    <workbookView xWindow="-108" yWindow="-108" windowWidth="23256" windowHeight="12456" xr2:uid="{DA7D947E-5758-4075-8427-4478511E05E9}"/>
  </bookViews>
  <sheets>
    <sheet name="case study worksheet" sheetId="8" r:id="rId1"/>
    <sheet name="Sheet3" sheetId="9" r:id="rId2"/>
    <sheet name="(abc)SKU Master" sheetId="3" r:id="rId3"/>
    <sheet name="(abc)pincodes" sheetId="4" r:id="rId4"/>
    <sheet name="(abc)Order Report" sheetId="5" r:id="rId5"/>
    <sheet name="(courier)Invoice" sheetId="6" r:id="rId6"/>
    <sheet name="Courier Company - Rates" sheetId="7" r:id="rId7"/>
    <sheet name="Sheet1" sheetId="1" r:id="rId8"/>
  </sheets>
  <definedNames>
    <definedName name="ExternalData_1" localSheetId="4" hidden="1">'(abc)Order Report'!$A$1:$E$399</definedName>
    <definedName name="ExternalData_1" localSheetId="3" hidden="1">'(abc)pincodes'!$A$1:$E$109</definedName>
    <definedName name="ExternalData_1" localSheetId="2" hidden="1">'(abc)SKU Master'!$A$1:$E$66</definedName>
    <definedName name="ExternalData_1" localSheetId="5" hidden="1">'(courier)Invoice'!$A$1:$H$125</definedName>
    <definedName name="ExternalData_1" localSheetId="0" hidden="1">'case study worksheet'!$A$1:$E$399</definedName>
    <definedName name="ExternalData_1" localSheetId="6" hidden="1">'Courier Company - Rates'!$A$1:$T$2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8" l="1"/>
  <c r="D2" i="8"/>
  <c r="E2" i="8" s="1"/>
  <c r="D3" i="8"/>
  <c r="E3" i="8" s="1"/>
  <c r="D4" i="8"/>
  <c r="E4" i="8" s="1"/>
  <c r="D5" i="8"/>
  <c r="E5" i="8" s="1"/>
  <c r="D6" i="8"/>
  <c r="E6" i="8" s="1"/>
  <c r="D7" i="8"/>
  <c r="E7" i="8" s="1"/>
  <c r="D8" i="8"/>
  <c r="E8" i="8" s="1"/>
  <c r="D9" i="8"/>
  <c r="E9" i="8" s="1"/>
  <c r="D10" i="8"/>
  <c r="E10" i="8" s="1"/>
  <c r="D11" i="8"/>
  <c r="E11" i="8" s="1"/>
  <c r="D12" i="8"/>
  <c r="E12" i="8" s="1"/>
  <c r="D13" i="8"/>
  <c r="E13" i="8" s="1"/>
  <c r="D14" i="8"/>
  <c r="E14" i="8" s="1"/>
  <c r="D15" i="8"/>
  <c r="E15" i="8" s="1"/>
  <c r="D16" i="8"/>
  <c r="E16" i="8" s="1"/>
  <c r="D17" i="8"/>
  <c r="E17" i="8" s="1"/>
  <c r="D18" i="8"/>
  <c r="E18" i="8" s="1"/>
  <c r="D20" i="8"/>
  <c r="E20" i="8" s="1"/>
  <c r="O7" i="8" s="1"/>
  <c r="D21" i="8"/>
  <c r="E21" i="8" s="1"/>
  <c r="D22" i="8"/>
  <c r="E22" i="8" s="1"/>
  <c r="O8" i="8" s="1"/>
  <c r="D23" i="8"/>
  <c r="E23" i="8" s="1"/>
  <c r="D24" i="8"/>
  <c r="E24" i="8" s="1"/>
  <c r="D25" i="8"/>
  <c r="E25" i="8" s="1"/>
  <c r="D26" i="8"/>
  <c r="E26" i="8" s="1"/>
  <c r="O10" i="8" s="1"/>
  <c r="D27" i="8"/>
  <c r="E27" i="8" s="1"/>
  <c r="D28" i="8"/>
  <c r="E28" i="8" s="1"/>
  <c r="D29" i="8"/>
  <c r="E29" i="8" s="1"/>
  <c r="D30" i="8"/>
  <c r="E30" i="8" s="1"/>
  <c r="D31" i="8"/>
  <c r="E31" i="8" s="1"/>
  <c r="D32" i="8"/>
  <c r="E32" i="8" s="1"/>
  <c r="D33" i="8"/>
  <c r="E33" i="8" s="1"/>
  <c r="D34" i="8"/>
  <c r="E34" i="8" s="1"/>
  <c r="D35" i="8"/>
  <c r="E35" i="8" s="1"/>
  <c r="D36" i="8"/>
  <c r="E36" i="8" s="1"/>
  <c r="D37" i="8"/>
  <c r="E37" i="8" s="1"/>
  <c r="D38" i="8"/>
  <c r="E38" i="8" s="1"/>
  <c r="D39" i="8"/>
  <c r="E39" i="8" s="1"/>
  <c r="D40" i="8"/>
  <c r="E40" i="8" s="1"/>
  <c r="D41" i="8"/>
  <c r="E41" i="8" s="1"/>
  <c r="D42" i="8"/>
  <c r="E42" i="8" s="1"/>
  <c r="D43" i="8"/>
  <c r="E43" i="8" s="1"/>
  <c r="D44" i="8"/>
  <c r="E44" i="8" s="1"/>
  <c r="D45" i="8"/>
  <c r="E45" i="8" s="1"/>
  <c r="D46" i="8"/>
  <c r="E46" i="8" s="1"/>
  <c r="D47" i="8"/>
  <c r="E47" i="8" s="1"/>
  <c r="D48" i="8"/>
  <c r="E48" i="8" s="1"/>
  <c r="D49" i="8"/>
  <c r="E49" i="8" s="1"/>
  <c r="D50" i="8"/>
  <c r="E50" i="8" s="1"/>
  <c r="D51" i="8"/>
  <c r="E51" i="8" s="1"/>
  <c r="D52" i="8"/>
  <c r="E52" i="8" s="1"/>
  <c r="O20" i="8" s="1"/>
  <c r="D53" i="8"/>
  <c r="E53" i="8" s="1"/>
  <c r="D54" i="8"/>
  <c r="E54" i="8" s="1"/>
  <c r="D55" i="8"/>
  <c r="E55" i="8" s="1"/>
  <c r="D56" i="8"/>
  <c r="E56" i="8" s="1"/>
  <c r="D57" i="8"/>
  <c r="E57" i="8" s="1"/>
  <c r="D58" i="8"/>
  <c r="E58" i="8" s="1"/>
  <c r="D59" i="8"/>
  <c r="E59" i="8" s="1"/>
  <c r="D60" i="8"/>
  <c r="E60" i="8" s="1"/>
  <c r="D61" i="8"/>
  <c r="E61" i="8" s="1"/>
  <c r="D62" i="8"/>
  <c r="E62" i="8" s="1"/>
  <c r="D63" i="8"/>
  <c r="E63" i="8" s="1"/>
  <c r="D64" i="8"/>
  <c r="E64" i="8" s="1"/>
  <c r="D65" i="8"/>
  <c r="E65" i="8" s="1"/>
  <c r="D66" i="8"/>
  <c r="E66" i="8" s="1"/>
  <c r="D67" i="8"/>
  <c r="E67" i="8" s="1"/>
  <c r="D68" i="8"/>
  <c r="E68" i="8" s="1"/>
  <c r="D69" i="8"/>
  <c r="E69" i="8" s="1"/>
  <c r="D70" i="8"/>
  <c r="E70" i="8" s="1"/>
  <c r="O25" i="8" s="1"/>
  <c r="D71" i="8"/>
  <c r="E71" i="8" s="1"/>
  <c r="D72" i="8"/>
  <c r="E72" i="8" s="1"/>
  <c r="O26" i="8" s="1"/>
  <c r="D73" i="8"/>
  <c r="E73" i="8" s="1"/>
  <c r="D74" i="8"/>
  <c r="E74" i="8" s="1"/>
  <c r="D75" i="8"/>
  <c r="E75" i="8" s="1"/>
  <c r="D76" i="8"/>
  <c r="E76" i="8" s="1"/>
  <c r="D77" i="8"/>
  <c r="E77" i="8" s="1"/>
  <c r="D78" i="8"/>
  <c r="E78" i="8" s="1"/>
  <c r="D79" i="8"/>
  <c r="E79" i="8" s="1"/>
  <c r="D80" i="8"/>
  <c r="E80" i="8" s="1"/>
  <c r="D81" i="8"/>
  <c r="E81" i="8" s="1"/>
  <c r="D82" i="8"/>
  <c r="E82" i="8" s="1"/>
  <c r="D83" i="8"/>
  <c r="E83" i="8" s="1"/>
  <c r="D84" i="8"/>
  <c r="E84" i="8" s="1"/>
  <c r="D85" i="8"/>
  <c r="E85" i="8" s="1"/>
  <c r="D86" i="8"/>
  <c r="E86" i="8" s="1"/>
  <c r="D87" i="8"/>
  <c r="E87" i="8" s="1"/>
  <c r="D88" i="8"/>
  <c r="E88" i="8" s="1"/>
  <c r="D89" i="8"/>
  <c r="E89" i="8" s="1"/>
  <c r="D90" i="8"/>
  <c r="E90" i="8" s="1"/>
  <c r="D91" i="8"/>
  <c r="E91" i="8" s="1"/>
  <c r="D92" i="8"/>
  <c r="E92" i="8" s="1"/>
  <c r="D93" i="8"/>
  <c r="E93" i="8" s="1"/>
  <c r="D94" i="8"/>
  <c r="E94" i="8" s="1"/>
  <c r="D95" i="8"/>
  <c r="E95" i="8" s="1"/>
  <c r="D96" i="8"/>
  <c r="E96" i="8" s="1"/>
  <c r="D97" i="8"/>
  <c r="E97" i="8" s="1"/>
  <c r="D98" i="8"/>
  <c r="E98" i="8" s="1"/>
  <c r="D99" i="8"/>
  <c r="E99" i="8" s="1"/>
  <c r="D100" i="8"/>
  <c r="E100" i="8" s="1"/>
  <c r="D101" i="8"/>
  <c r="E101" i="8" s="1"/>
  <c r="D102" i="8"/>
  <c r="E102" i="8" s="1"/>
  <c r="D103" i="8"/>
  <c r="E103" i="8" s="1"/>
  <c r="D104" i="8"/>
  <c r="E104" i="8" s="1"/>
  <c r="D105" i="8"/>
  <c r="E105" i="8" s="1"/>
  <c r="D106" i="8"/>
  <c r="E106" i="8" s="1"/>
  <c r="D107" i="8"/>
  <c r="E107" i="8" s="1"/>
  <c r="D108" i="8"/>
  <c r="E108" i="8" s="1"/>
  <c r="D109" i="8"/>
  <c r="E109" i="8" s="1"/>
  <c r="D110" i="8"/>
  <c r="E110" i="8" s="1"/>
  <c r="D111" i="8"/>
  <c r="E111" i="8" s="1"/>
  <c r="D112" i="8"/>
  <c r="E112" i="8" s="1"/>
  <c r="D113" i="8"/>
  <c r="E113" i="8" s="1"/>
  <c r="D114" i="8"/>
  <c r="E114" i="8" s="1"/>
  <c r="D115" i="8"/>
  <c r="E115" i="8" s="1"/>
  <c r="D116" i="8"/>
  <c r="E116" i="8" s="1"/>
  <c r="D117" i="8"/>
  <c r="E117" i="8" s="1"/>
  <c r="D118" i="8"/>
  <c r="E118" i="8" s="1"/>
  <c r="D119" i="8"/>
  <c r="E119" i="8" s="1"/>
  <c r="D120" i="8"/>
  <c r="E120" i="8" s="1"/>
  <c r="D121" i="8"/>
  <c r="E121" i="8" s="1"/>
  <c r="D122" i="8"/>
  <c r="E122" i="8" s="1"/>
  <c r="D123" i="8"/>
  <c r="E123" i="8" s="1"/>
  <c r="D124" i="8"/>
  <c r="E124" i="8" s="1"/>
  <c r="D125" i="8"/>
  <c r="E125" i="8" s="1"/>
  <c r="D126" i="8"/>
  <c r="E126" i="8" s="1"/>
  <c r="D127" i="8"/>
  <c r="E127" i="8" s="1"/>
  <c r="D128" i="8"/>
  <c r="E128" i="8" s="1"/>
  <c r="D129" i="8"/>
  <c r="E129" i="8" s="1"/>
  <c r="D130" i="8"/>
  <c r="E130" i="8" s="1"/>
  <c r="D131" i="8"/>
  <c r="E131" i="8" s="1"/>
  <c r="D132" i="8"/>
  <c r="E132" i="8" s="1"/>
  <c r="D133" i="8"/>
  <c r="E133" i="8" s="1"/>
  <c r="D134" i="8"/>
  <c r="E134" i="8" s="1"/>
  <c r="D135" i="8"/>
  <c r="E135" i="8" s="1"/>
  <c r="D136" i="8"/>
  <c r="E136" i="8" s="1"/>
  <c r="D137" i="8"/>
  <c r="E137" i="8" s="1"/>
  <c r="D138" i="8"/>
  <c r="E138" i="8" s="1"/>
  <c r="D139" i="8"/>
  <c r="E139" i="8" s="1"/>
  <c r="D140" i="8"/>
  <c r="E140" i="8" s="1"/>
  <c r="D141" i="8"/>
  <c r="E141" i="8" s="1"/>
  <c r="D142" i="8"/>
  <c r="E142" i="8" s="1"/>
  <c r="D143" i="8"/>
  <c r="E143" i="8" s="1"/>
  <c r="D144" i="8"/>
  <c r="E144" i="8" s="1"/>
  <c r="D145" i="8"/>
  <c r="E145" i="8" s="1"/>
  <c r="D146" i="8"/>
  <c r="E146" i="8" s="1"/>
  <c r="D147" i="8"/>
  <c r="E147" i="8" s="1"/>
  <c r="D148" i="8"/>
  <c r="E148" i="8" s="1"/>
  <c r="D149" i="8"/>
  <c r="E149" i="8" s="1"/>
  <c r="D150" i="8"/>
  <c r="E150" i="8" s="1"/>
  <c r="D151" i="8"/>
  <c r="E151" i="8" s="1"/>
  <c r="D152" i="8"/>
  <c r="E152" i="8" s="1"/>
  <c r="D153" i="8"/>
  <c r="E153" i="8" s="1"/>
  <c r="D154" i="8"/>
  <c r="E154" i="8" s="1"/>
  <c r="D155" i="8"/>
  <c r="E155" i="8" s="1"/>
  <c r="D156" i="8"/>
  <c r="E156" i="8" s="1"/>
  <c r="D157" i="8"/>
  <c r="E157" i="8" s="1"/>
  <c r="D158" i="8"/>
  <c r="E158" i="8" s="1"/>
  <c r="D159" i="8"/>
  <c r="E159" i="8" s="1"/>
  <c r="D160" i="8"/>
  <c r="E160" i="8" s="1"/>
  <c r="D161" i="8"/>
  <c r="E161" i="8" s="1"/>
  <c r="D162" i="8"/>
  <c r="E162" i="8" s="1"/>
  <c r="D163" i="8"/>
  <c r="E163" i="8" s="1"/>
  <c r="D164" i="8"/>
  <c r="E164" i="8" s="1"/>
  <c r="D165" i="8"/>
  <c r="E165" i="8" s="1"/>
  <c r="D166" i="8"/>
  <c r="E166" i="8" s="1"/>
  <c r="D167" i="8"/>
  <c r="E167" i="8" s="1"/>
  <c r="D168" i="8"/>
  <c r="E168" i="8" s="1"/>
  <c r="D169" i="8"/>
  <c r="E169" i="8" s="1"/>
  <c r="D170" i="8"/>
  <c r="E170" i="8" s="1"/>
  <c r="D171" i="8"/>
  <c r="E171" i="8" s="1"/>
  <c r="D172" i="8"/>
  <c r="E172" i="8" s="1"/>
  <c r="D173" i="8"/>
  <c r="E173" i="8" s="1"/>
  <c r="D174" i="8"/>
  <c r="E174" i="8" s="1"/>
  <c r="D175" i="8"/>
  <c r="E175" i="8" s="1"/>
  <c r="D176" i="8"/>
  <c r="E176" i="8" s="1"/>
  <c r="D177" i="8"/>
  <c r="E177" i="8" s="1"/>
  <c r="D178" i="8"/>
  <c r="E178" i="8" s="1"/>
  <c r="D179" i="8"/>
  <c r="E179" i="8" s="1"/>
  <c r="D180" i="8"/>
  <c r="E180" i="8" s="1"/>
  <c r="D181" i="8"/>
  <c r="E181" i="8" s="1"/>
  <c r="D182" i="8"/>
  <c r="E182" i="8" s="1"/>
  <c r="D183" i="8"/>
  <c r="E183" i="8" s="1"/>
  <c r="D184" i="8"/>
  <c r="E184" i="8" s="1"/>
  <c r="D185" i="8"/>
  <c r="E185" i="8" s="1"/>
  <c r="D186" i="8"/>
  <c r="E186" i="8" s="1"/>
  <c r="D187" i="8"/>
  <c r="E187" i="8" s="1"/>
  <c r="D188" i="8"/>
  <c r="E188" i="8" s="1"/>
  <c r="D189" i="8"/>
  <c r="E189" i="8" s="1"/>
  <c r="D190" i="8"/>
  <c r="E190" i="8" s="1"/>
  <c r="D191" i="8"/>
  <c r="E191" i="8" s="1"/>
  <c r="D192" i="8"/>
  <c r="E192" i="8" s="1"/>
  <c r="D193" i="8"/>
  <c r="E193" i="8" s="1"/>
  <c r="D194" i="8"/>
  <c r="E194" i="8" s="1"/>
  <c r="D195" i="8"/>
  <c r="E195" i="8" s="1"/>
  <c r="D196" i="8"/>
  <c r="E196" i="8" s="1"/>
  <c r="D197" i="8"/>
  <c r="E197" i="8" s="1"/>
  <c r="D198" i="8"/>
  <c r="E198" i="8" s="1"/>
  <c r="D199" i="8"/>
  <c r="E199" i="8" s="1"/>
  <c r="D200" i="8"/>
  <c r="E200" i="8" s="1"/>
  <c r="D201" i="8"/>
  <c r="E201" i="8" s="1"/>
  <c r="D202" i="8"/>
  <c r="E202" i="8" s="1"/>
  <c r="D203" i="8"/>
  <c r="E203" i="8" s="1"/>
  <c r="D204" i="8"/>
  <c r="E204" i="8" s="1"/>
  <c r="O62" i="8" s="1"/>
  <c r="D205" i="8"/>
  <c r="E205" i="8" s="1"/>
  <c r="D206" i="8"/>
  <c r="E206" i="8" s="1"/>
  <c r="D207" i="8"/>
  <c r="E207" i="8" s="1"/>
  <c r="D208" i="8"/>
  <c r="E208" i="8" s="1"/>
  <c r="D209" i="8"/>
  <c r="E209" i="8" s="1"/>
  <c r="D210" i="8"/>
  <c r="E210" i="8" s="1"/>
  <c r="D211" i="8"/>
  <c r="E211" i="8" s="1"/>
  <c r="D212" i="8"/>
  <c r="E212" i="8" s="1"/>
  <c r="D213" i="8"/>
  <c r="E213" i="8" s="1"/>
  <c r="D214" i="8"/>
  <c r="E214" i="8" s="1"/>
  <c r="D215" i="8"/>
  <c r="E215" i="8" s="1"/>
  <c r="D216" i="8"/>
  <c r="E216" i="8" s="1"/>
  <c r="D217" i="8"/>
  <c r="E217" i="8" s="1"/>
  <c r="D218" i="8"/>
  <c r="E218" i="8" s="1"/>
  <c r="D219" i="8"/>
  <c r="E219" i="8" s="1"/>
  <c r="D220" i="8"/>
  <c r="E220" i="8" s="1"/>
  <c r="D221" i="8"/>
  <c r="E221" i="8" s="1"/>
  <c r="D222" i="8"/>
  <c r="E222" i="8" s="1"/>
  <c r="D223" i="8"/>
  <c r="E223" i="8" s="1"/>
  <c r="D224" i="8"/>
  <c r="E224" i="8" s="1"/>
  <c r="D225" i="8"/>
  <c r="E225" i="8" s="1"/>
  <c r="D226" i="8"/>
  <c r="E226" i="8" s="1"/>
  <c r="D227" i="8"/>
  <c r="E227" i="8" s="1"/>
  <c r="D228" i="8"/>
  <c r="E228" i="8" s="1"/>
  <c r="D229" i="8"/>
  <c r="E229" i="8" s="1"/>
  <c r="D230" i="8"/>
  <c r="E230" i="8" s="1"/>
  <c r="D231" i="8"/>
  <c r="E231" i="8" s="1"/>
  <c r="D232" i="8"/>
  <c r="E232" i="8" s="1"/>
  <c r="D233" i="8"/>
  <c r="E233" i="8" s="1"/>
  <c r="D234" i="8"/>
  <c r="E234" i="8" s="1"/>
  <c r="D235" i="8"/>
  <c r="E235" i="8" s="1"/>
  <c r="D236" i="8"/>
  <c r="E236" i="8" s="1"/>
  <c r="D237" i="8"/>
  <c r="E237" i="8" s="1"/>
  <c r="D238" i="8"/>
  <c r="E238" i="8" s="1"/>
  <c r="D239" i="8"/>
  <c r="E239" i="8" s="1"/>
  <c r="D240" i="8"/>
  <c r="E240" i="8" s="1"/>
  <c r="D241" i="8"/>
  <c r="E241" i="8" s="1"/>
  <c r="D242" i="8"/>
  <c r="E242" i="8" s="1"/>
  <c r="D243" i="8"/>
  <c r="E243" i="8" s="1"/>
  <c r="D244" i="8"/>
  <c r="E244" i="8" s="1"/>
  <c r="D245" i="8"/>
  <c r="E245" i="8" s="1"/>
  <c r="D246" i="8"/>
  <c r="E246" i="8" s="1"/>
  <c r="D247" i="8"/>
  <c r="E247" i="8" s="1"/>
  <c r="D248" i="8"/>
  <c r="E248" i="8" s="1"/>
  <c r="D249" i="8"/>
  <c r="E249" i="8" s="1"/>
  <c r="D250" i="8"/>
  <c r="E250" i="8" s="1"/>
  <c r="D251" i="8"/>
  <c r="E251" i="8" s="1"/>
  <c r="D252" i="8"/>
  <c r="E252" i="8" s="1"/>
  <c r="D253" i="8"/>
  <c r="E253" i="8" s="1"/>
  <c r="D254" i="8"/>
  <c r="E254" i="8" s="1"/>
  <c r="D255" i="8"/>
  <c r="E255" i="8" s="1"/>
  <c r="D256" i="8"/>
  <c r="E256" i="8" s="1"/>
  <c r="D257" i="8"/>
  <c r="E257" i="8" s="1"/>
  <c r="D258" i="8"/>
  <c r="E258" i="8" s="1"/>
  <c r="D259" i="8"/>
  <c r="E259" i="8" s="1"/>
  <c r="D260" i="8"/>
  <c r="E260" i="8" s="1"/>
  <c r="D261" i="8"/>
  <c r="E261" i="8" s="1"/>
  <c r="D262" i="8"/>
  <c r="E262" i="8" s="1"/>
  <c r="D263" i="8"/>
  <c r="E263" i="8" s="1"/>
  <c r="O80" i="8" s="1"/>
  <c r="D264" i="8"/>
  <c r="E264" i="8" s="1"/>
  <c r="D265" i="8"/>
  <c r="E265" i="8" s="1"/>
  <c r="D266" i="8"/>
  <c r="E266" i="8" s="1"/>
  <c r="D267" i="8"/>
  <c r="E267" i="8" s="1"/>
  <c r="D268" i="8"/>
  <c r="E268" i="8" s="1"/>
  <c r="D269" i="8"/>
  <c r="E269" i="8" s="1"/>
  <c r="D270" i="8"/>
  <c r="E270" i="8" s="1"/>
  <c r="D271" i="8"/>
  <c r="E271" i="8" s="1"/>
  <c r="D272" i="8"/>
  <c r="E272" i="8" s="1"/>
  <c r="D273" i="8"/>
  <c r="E273" i="8" s="1"/>
  <c r="D274" i="8"/>
  <c r="E274" i="8" s="1"/>
  <c r="D275" i="8"/>
  <c r="E275" i="8" s="1"/>
  <c r="D276" i="8"/>
  <c r="E276" i="8" s="1"/>
  <c r="D277" i="8"/>
  <c r="E277" i="8" s="1"/>
  <c r="D278" i="8"/>
  <c r="E278" i="8" s="1"/>
  <c r="D279" i="8"/>
  <c r="E279" i="8" s="1"/>
  <c r="D280" i="8"/>
  <c r="E280" i="8" s="1"/>
  <c r="D281" i="8"/>
  <c r="E281" i="8" s="1"/>
  <c r="D282" i="8"/>
  <c r="E282" i="8" s="1"/>
  <c r="D283" i="8"/>
  <c r="E283" i="8" s="1"/>
  <c r="D284" i="8"/>
  <c r="E284" i="8" s="1"/>
  <c r="D285" i="8"/>
  <c r="E285" i="8" s="1"/>
  <c r="D286" i="8"/>
  <c r="E286" i="8" s="1"/>
  <c r="D287" i="8"/>
  <c r="E287" i="8" s="1"/>
  <c r="O88" i="8" s="1"/>
  <c r="D288" i="8"/>
  <c r="E288" i="8" s="1"/>
  <c r="D289" i="8"/>
  <c r="E289" i="8" s="1"/>
  <c r="D290" i="8"/>
  <c r="E290" i="8" s="1"/>
  <c r="D291" i="8"/>
  <c r="E291" i="8" s="1"/>
  <c r="D292" i="8"/>
  <c r="E292" i="8" s="1"/>
  <c r="D293" i="8"/>
  <c r="E293" i="8" s="1"/>
  <c r="D294" i="8"/>
  <c r="E294" i="8" s="1"/>
  <c r="D295" i="8"/>
  <c r="E295" i="8" s="1"/>
  <c r="D296" i="8"/>
  <c r="E296" i="8" s="1"/>
  <c r="D297" i="8"/>
  <c r="E297" i="8" s="1"/>
  <c r="D298" i="8"/>
  <c r="E298" i="8" s="1"/>
  <c r="D299" i="8"/>
  <c r="E299" i="8" s="1"/>
  <c r="D300" i="8"/>
  <c r="E300" i="8" s="1"/>
  <c r="D301" i="8"/>
  <c r="E301" i="8" s="1"/>
  <c r="D302" i="8"/>
  <c r="E302" i="8" s="1"/>
  <c r="D303" i="8"/>
  <c r="E303" i="8" s="1"/>
  <c r="D304" i="8"/>
  <c r="E304" i="8" s="1"/>
  <c r="D305" i="8"/>
  <c r="E305" i="8" s="1"/>
  <c r="D306" i="8"/>
  <c r="E306" i="8" s="1"/>
  <c r="D307" i="8"/>
  <c r="E307" i="8" s="1"/>
  <c r="D308" i="8"/>
  <c r="E308" i="8" s="1"/>
  <c r="D309" i="8"/>
  <c r="E309" i="8" s="1"/>
  <c r="D310" i="8"/>
  <c r="E310" i="8" s="1"/>
  <c r="O95" i="8" s="1"/>
  <c r="D311" i="8"/>
  <c r="E311" i="8" s="1"/>
  <c r="D312" i="8"/>
  <c r="E312" i="8" s="1"/>
  <c r="D313" i="8"/>
  <c r="E313" i="8" s="1"/>
  <c r="D314" i="8"/>
  <c r="E314" i="8" s="1"/>
  <c r="D315" i="8"/>
  <c r="E315" i="8" s="1"/>
  <c r="D316" i="8"/>
  <c r="E316" i="8" s="1"/>
  <c r="D317" i="8"/>
  <c r="E317" i="8" s="1"/>
  <c r="O98" i="8" s="1"/>
  <c r="D318" i="8"/>
  <c r="E318" i="8" s="1"/>
  <c r="D319" i="8"/>
  <c r="E319" i="8" s="1"/>
  <c r="D320" i="8"/>
  <c r="E320" i="8" s="1"/>
  <c r="D321" i="8"/>
  <c r="E321" i="8" s="1"/>
  <c r="D322" i="8"/>
  <c r="E322" i="8" s="1"/>
  <c r="D323" i="8"/>
  <c r="E323" i="8" s="1"/>
  <c r="D324" i="8"/>
  <c r="E324" i="8" s="1"/>
  <c r="D325" i="8"/>
  <c r="E325" i="8" s="1"/>
  <c r="D326" i="8"/>
  <c r="E326" i="8" s="1"/>
  <c r="D327" i="8"/>
  <c r="E327" i="8" s="1"/>
  <c r="O103" i="8" s="1"/>
  <c r="D328" i="8"/>
  <c r="E328" i="8" s="1"/>
  <c r="D329" i="8"/>
  <c r="E329" i="8" s="1"/>
  <c r="D330" i="8"/>
  <c r="E330" i="8" s="1"/>
  <c r="D331" i="8"/>
  <c r="E331" i="8" s="1"/>
  <c r="D332" i="8"/>
  <c r="E332" i="8" s="1"/>
  <c r="D333" i="8"/>
  <c r="E333" i="8" s="1"/>
  <c r="D334" i="8"/>
  <c r="E334" i="8" s="1"/>
  <c r="D335" i="8"/>
  <c r="E335" i="8" s="1"/>
  <c r="D336" i="8"/>
  <c r="E336" i="8" s="1"/>
  <c r="D337" i="8"/>
  <c r="E337" i="8" s="1"/>
  <c r="D338" i="8"/>
  <c r="E338" i="8" s="1"/>
  <c r="D339" i="8"/>
  <c r="E339" i="8" s="1"/>
  <c r="D340" i="8"/>
  <c r="E340" i="8" s="1"/>
  <c r="D341" i="8"/>
  <c r="E341" i="8" s="1"/>
  <c r="D342" i="8"/>
  <c r="E342" i="8" s="1"/>
  <c r="D343" i="8"/>
  <c r="E343" i="8" s="1"/>
  <c r="D344" i="8"/>
  <c r="E344" i="8" s="1"/>
  <c r="D345" i="8"/>
  <c r="E345" i="8" s="1"/>
  <c r="D346" i="8"/>
  <c r="E346" i="8" s="1"/>
  <c r="D347" i="8"/>
  <c r="E347" i="8" s="1"/>
  <c r="D348" i="8"/>
  <c r="E348" i="8" s="1"/>
  <c r="D349" i="8"/>
  <c r="E349" i="8" s="1"/>
  <c r="D350" i="8"/>
  <c r="E350" i="8" s="1"/>
  <c r="D351" i="8"/>
  <c r="E351" i="8" s="1"/>
  <c r="D352" i="8"/>
  <c r="E352" i="8" s="1"/>
  <c r="D353" i="8"/>
  <c r="E353" i="8" s="1"/>
  <c r="D354" i="8"/>
  <c r="E354" i="8" s="1"/>
  <c r="D355" i="8"/>
  <c r="E355" i="8" s="1"/>
  <c r="D356" i="8"/>
  <c r="E356" i="8" s="1"/>
  <c r="D357" i="8"/>
  <c r="E357" i="8" s="1"/>
  <c r="D358" i="8"/>
  <c r="E358" i="8" s="1"/>
  <c r="O112" i="8" s="1"/>
  <c r="D359" i="8"/>
  <c r="E359" i="8" s="1"/>
  <c r="D360" i="8"/>
  <c r="E360" i="8" s="1"/>
  <c r="D361" i="8"/>
  <c r="E361" i="8" s="1"/>
  <c r="D362" i="8"/>
  <c r="E362" i="8" s="1"/>
  <c r="D363" i="8"/>
  <c r="E363" i="8" s="1"/>
  <c r="D364" i="8"/>
  <c r="E364" i="8" s="1"/>
  <c r="D365" i="8"/>
  <c r="E365" i="8" s="1"/>
  <c r="D366" i="8"/>
  <c r="E366" i="8" s="1"/>
  <c r="D367" i="8"/>
  <c r="E367" i="8" s="1"/>
  <c r="D368" i="8"/>
  <c r="E368" i="8" s="1"/>
  <c r="D369" i="8"/>
  <c r="E369" i="8" s="1"/>
  <c r="D370" i="8"/>
  <c r="E370" i="8" s="1"/>
  <c r="D371" i="8"/>
  <c r="E371" i="8" s="1"/>
  <c r="D372" i="8"/>
  <c r="E372" i="8" s="1"/>
  <c r="D373" i="8"/>
  <c r="E373" i="8" s="1"/>
  <c r="D374" i="8"/>
  <c r="E374" i="8" s="1"/>
  <c r="D375" i="8"/>
  <c r="E375" i="8" s="1"/>
  <c r="D376" i="8"/>
  <c r="E376" i="8" s="1"/>
  <c r="D377" i="8"/>
  <c r="E377" i="8" s="1"/>
  <c r="D378" i="8"/>
  <c r="E378" i="8" s="1"/>
  <c r="D379" i="8"/>
  <c r="E379" i="8" s="1"/>
  <c r="D380" i="8"/>
  <c r="E380" i="8" s="1"/>
  <c r="D381" i="8"/>
  <c r="E381" i="8" s="1"/>
  <c r="D382" i="8"/>
  <c r="E382" i="8" s="1"/>
  <c r="D383" i="8"/>
  <c r="E383" i="8" s="1"/>
  <c r="D384" i="8"/>
  <c r="E384" i="8" s="1"/>
  <c r="D385" i="8"/>
  <c r="E385" i="8" s="1"/>
  <c r="D386" i="8"/>
  <c r="E386" i="8" s="1"/>
  <c r="D387" i="8"/>
  <c r="E387" i="8" s="1"/>
  <c r="D388" i="8"/>
  <c r="E388" i="8" s="1"/>
  <c r="O121" i="8" s="1"/>
  <c r="D389" i="8"/>
  <c r="E389" i="8" s="1"/>
  <c r="D390" i="8"/>
  <c r="E390" i="8" s="1"/>
  <c r="O122" i="8" s="1"/>
  <c r="D391" i="8"/>
  <c r="E391" i="8" s="1"/>
  <c r="D392" i="8"/>
  <c r="E392" i="8" s="1"/>
  <c r="D393" i="8"/>
  <c r="E393" i="8" s="1"/>
  <c r="D394" i="8"/>
  <c r="E394" i="8" s="1"/>
  <c r="D395" i="8"/>
  <c r="E395" i="8" s="1"/>
  <c r="D396" i="8"/>
  <c r="E396" i="8" s="1"/>
  <c r="D397" i="8"/>
  <c r="E397" i="8" s="1"/>
  <c r="D398" i="8"/>
  <c r="E398" i="8" s="1"/>
  <c r="D399" i="8"/>
  <c r="E399" i="8" s="1"/>
  <c r="W126" i="8"/>
  <c r="U126" i="8"/>
  <c r="R126" i="8"/>
  <c r="V126" i="8" s="1"/>
  <c r="Q126" i="8"/>
  <c r="W125" i="8"/>
  <c r="U125" i="8"/>
  <c r="R125" i="8"/>
  <c r="V125" i="8" s="1"/>
  <c r="Q125" i="8"/>
  <c r="W124" i="8"/>
  <c r="U124" i="8"/>
  <c r="R124" i="8"/>
  <c r="V124" i="8" s="1"/>
  <c r="Q124" i="8"/>
  <c r="W123" i="8"/>
  <c r="U123" i="8"/>
  <c r="R123" i="8"/>
  <c r="V123" i="8" s="1"/>
  <c r="Q123" i="8"/>
  <c r="W122" i="8"/>
  <c r="U122" i="8"/>
  <c r="R122" i="8"/>
  <c r="V122" i="8" s="1"/>
  <c r="Q122" i="8"/>
  <c r="W121" i="8"/>
  <c r="U121" i="8"/>
  <c r="R121" i="8"/>
  <c r="V121" i="8" s="1"/>
  <c r="Q121" i="8"/>
  <c r="W120" i="8"/>
  <c r="V120" i="8"/>
  <c r="U120" i="8"/>
  <c r="R120" i="8"/>
  <c r="S120" i="8" s="1"/>
  <c r="Q120" i="8"/>
  <c r="W119" i="8"/>
  <c r="U119" i="8"/>
  <c r="R119" i="8"/>
  <c r="V119" i="8" s="1"/>
  <c r="Q119" i="8"/>
  <c r="W118" i="8"/>
  <c r="U118" i="8"/>
  <c r="R118" i="8"/>
  <c r="V118" i="8" s="1"/>
  <c r="Q118" i="8"/>
  <c r="W117" i="8"/>
  <c r="U117" i="8"/>
  <c r="R117" i="8"/>
  <c r="S117" i="8" s="1"/>
  <c r="Q117" i="8"/>
  <c r="W116" i="8"/>
  <c r="U116" i="8"/>
  <c r="R116" i="8"/>
  <c r="V116" i="8" s="1"/>
  <c r="Q116" i="8"/>
  <c r="W115" i="8"/>
  <c r="U115" i="8"/>
  <c r="R115" i="8"/>
  <c r="S115" i="8" s="1"/>
  <c r="Q115" i="8"/>
  <c r="W114" i="8"/>
  <c r="U114" i="8"/>
  <c r="S114" i="8"/>
  <c r="R114" i="8"/>
  <c r="V114" i="8" s="1"/>
  <c r="Q114" i="8"/>
  <c r="W113" i="8"/>
  <c r="U113" i="8"/>
  <c r="R113" i="8"/>
  <c r="V113" i="8" s="1"/>
  <c r="Q113" i="8"/>
  <c r="W112" i="8"/>
  <c r="U112" i="8"/>
  <c r="R112" i="8"/>
  <c r="V112" i="8" s="1"/>
  <c r="Q112" i="8"/>
  <c r="W111" i="8"/>
  <c r="U111" i="8"/>
  <c r="R111" i="8"/>
  <c r="Q111" i="8"/>
  <c r="W110" i="8"/>
  <c r="U110" i="8"/>
  <c r="R110" i="8"/>
  <c r="V110" i="8" s="1"/>
  <c r="Q110" i="8"/>
  <c r="W109" i="8"/>
  <c r="U109" i="8"/>
  <c r="R109" i="8"/>
  <c r="V109" i="8" s="1"/>
  <c r="Q109" i="8"/>
  <c r="W108" i="8"/>
  <c r="U108" i="8"/>
  <c r="R108" i="8"/>
  <c r="S108" i="8" s="1"/>
  <c r="Q108" i="8"/>
  <c r="W107" i="8"/>
  <c r="U107" i="8"/>
  <c r="S107" i="8"/>
  <c r="R107" i="8"/>
  <c r="V107" i="8" s="1"/>
  <c r="Q107" i="8"/>
  <c r="W106" i="8"/>
  <c r="U106" i="8"/>
  <c r="R106" i="8"/>
  <c r="V106" i="8" s="1"/>
  <c r="Q106" i="8"/>
  <c r="W105" i="8"/>
  <c r="U105" i="8"/>
  <c r="X105" i="8" s="1"/>
  <c r="Y105" i="8" s="1"/>
  <c r="R105" i="8"/>
  <c r="V105" i="8" s="1"/>
  <c r="Q105" i="8"/>
  <c r="W104" i="8"/>
  <c r="U104" i="8"/>
  <c r="X104" i="8" s="1"/>
  <c r="Y104" i="8" s="1"/>
  <c r="R104" i="8"/>
  <c r="V104" i="8" s="1"/>
  <c r="Q104" i="8"/>
  <c r="W103" i="8"/>
  <c r="U103" i="8"/>
  <c r="R103" i="8"/>
  <c r="S103" i="8" s="1"/>
  <c r="Q103" i="8"/>
  <c r="W102" i="8"/>
  <c r="U102" i="8"/>
  <c r="R102" i="8"/>
  <c r="V102" i="8" s="1"/>
  <c r="Q102" i="8"/>
  <c r="W101" i="8"/>
  <c r="U101" i="8"/>
  <c r="R101" i="8"/>
  <c r="S101" i="8" s="1"/>
  <c r="Q101" i="8"/>
  <c r="W100" i="8"/>
  <c r="U100" i="8"/>
  <c r="R100" i="8"/>
  <c r="V100" i="8" s="1"/>
  <c r="Q100" i="8"/>
  <c r="W99" i="8"/>
  <c r="U99" i="8"/>
  <c r="R99" i="8"/>
  <c r="V99" i="8" s="1"/>
  <c r="Q99" i="8"/>
  <c r="W98" i="8"/>
  <c r="U98" i="8"/>
  <c r="R98" i="8"/>
  <c r="S98" i="8" s="1"/>
  <c r="Q98" i="8"/>
  <c r="W97" i="8"/>
  <c r="U97" i="8"/>
  <c r="R97" i="8"/>
  <c r="V97" i="8" s="1"/>
  <c r="Q97" i="8"/>
  <c r="W96" i="8"/>
  <c r="U96" i="8"/>
  <c r="R96" i="8"/>
  <c r="V96" i="8" s="1"/>
  <c r="Q96" i="8"/>
  <c r="W95" i="8"/>
  <c r="U95" i="8"/>
  <c r="R95" i="8"/>
  <c r="Q95" i="8"/>
  <c r="W94" i="8"/>
  <c r="U94" i="8"/>
  <c r="R94" i="8"/>
  <c r="S94" i="8" s="1"/>
  <c r="Q94" i="8"/>
  <c r="W93" i="8"/>
  <c r="U93" i="8"/>
  <c r="R93" i="8"/>
  <c r="S93" i="8" s="1"/>
  <c r="Q93" i="8"/>
  <c r="W92" i="8"/>
  <c r="U92" i="8"/>
  <c r="R92" i="8"/>
  <c r="S92" i="8" s="1"/>
  <c r="Q92" i="8"/>
  <c r="W91" i="8"/>
  <c r="U91" i="8"/>
  <c r="R91" i="8"/>
  <c r="S91" i="8" s="1"/>
  <c r="Q91" i="8"/>
  <c r="W90" i="8"/>
  <c r="U90" i="8"/>
  <c r="R90" i="8"/>
  <c r="V90" i="8" s="1"/>
  <c r="Q90" i="8"/>
  <c r="W89" i="8"/>
  <c r="U89" i="8"/>
  <c r="R89" i="8"/>
  <c r="S89" i="8" s="1"/>
  <c r="Q89" i="8"/>
  <c r="W88" i="8"/>
  <c r="U88" i="8"/>
  <c r="R88" i="8"/>
  <c r="V88" i="8" s="1"/>
  <c r="Q88" i="8"/>
  <c r="W87" i="8"/>
  <c r="U87" i="8"/>
  <c r="R87" i="8"/>
  <c r="S87" i="8" s="1"/>
  <c r="Q87" i="8"/>
  <c r="W86" i="8"/>
  <c r="U86" i="8"/>
  <c r="R86" i="8"/>
  <c r="S86" i="8" s="1"/>
  <c r="Q86" i="8"/>
  <c r="W85" i="8"/>
  <c r="U85" i="8"/>
  <c r="X85" i="8" s="1"/>
  <c r="Y85" i="8" s="1"/>
  <c r="R85" i="8"/>
  <c r="S85" i="8" s="1"/>
  <c r="Q85" i="8"/>
  <c r="W84" i="8"/>
  <c r="U84" i="8"/>
  <c r="X84" i="8" s="1"/>
  <c r="Y84" i="8" s="1"/>
  <c r="R84" i="8"/>
  <c r="S84" i="8" s="1"/>
  <c r="Q84" i="8"/>
  <c r="W83" i="8"/>
  <c r="U83" i="8"/>
  <c r="X83" i="8" s="1"/>
  <c r="Y83" i="8" s="1"/>
  <c r="R83" i="8"/>
  <c r="S83" i="8" s="1"/>
  <c r="Q83" i="8"/>
  <c r="W82" i="8"/>
  <c r="U82" i="8"/>
  <c r="R82" i="8"/>
  <c r="Q82" i="8"/>
  <c r="W81" i="8"/>
  <c r="U81" i="8"/>
  <c r="R81" i="8"/>
  <c r="S81" i="8" s="1"/>
  <c r="Q81" i="8"/>
  <c r="W80" i="8"/>
  <c r="U80" i="8"/>
  <c r="R80" i="8"/>
  <c r="Q80" i="8"/>
  <c r="W79" i="8"/>
  <c r="U79" i="8"/>
  <c r="R79" i="8"/>
  <c r="V79" i="8" s="1"/>
  <c r="Q79" i="8"/>
  <c r="W78" i="8"/>
  <c r="U78" i="8"/>
  <c r="R78" i="8"/>
  <c r="Q78" i="8"/>
  <c r="W77" i="8"/>
  <c r="U77" i="8"/>
  <c r="R77" i="8"/>
  <c r="V77" i="8" s="1"/>
  <c r="Q77" i="8"/>
  <c r="W76" i="8"/>
  <c r="U76" i="8"/>
  <c r="R76" i="8"/>
  <c r="Q76" i="8"/>
  <c r="W75" i="8"/>
  <c r="U75" i="8"/>
  <c r="R75" i="8"/>
  <c r="V75" i="8" s="1"/>
  <c r="Q75" i="8"/>
  <c r="W74" i="8"/>
  <c r="U74" i="8"/>
  <c r="R74" i="8"/>
  <c r="V74" i="8" s="1"/>
  <c r="Q74" i="8"/>
  <c r="W73" i="8"/>
  <c r="U73" i="8"/>
  <c r="R73" i="8"/>
  <c r="S73" i="8" s="1"/>
  <c r="Q73" i="8"/>
  <c r="W72" i="8"/>
  <c r="U72" i="8"/>
  <c r="R72" i="8"/>
  <c r="V72" i="8" s="1"/>
  <c r="Q72" i="8"/>
  <c r="W71" i="8"/>
  <c r="U71" i="8"/>
  <c r="R71" i="8"/>
  <c r="V71" i="8" s="1"/>
  <c r="Q71" i="8"/>
  <c r="W70" i="8"/>
  <c r="U70" i="8"/>
  <c r="R70" i="8"/>
  <c r="V70" i="8" s="1"/>
  <c r="Q70" i="8"/>
  <c r="W69" i="8"/>
  <c r="U69" i="8"/>
  <c r="R69" i="8"/>
  <c r="V69" i="8" s="1"/>
  <c r="Q69" i="8"/>
  <c r="W68" i="8"/>
  <c r="U68" i="8"/>
  <c r="R68" i="8"/>
  <c r="V68" i="8" s="1"/>
  <c r="Q68" i="8"/>
  <c r="W67" i="8"/>
  <c r="V67" i="8"/>
  <c r="U67" i="8"/>
  <c r="R67" i="8"/>
  <c r="S67" i="8" s="1"/>
  <c r="Q67" i="8"/>
  <c r="W66" i="8"/>
  <c r="U66" i="8"/>
  <c r="R66" i="8"/>
  <c r="V66" i="8" s="1"/>
  <c r="Q66" i="8"/>
  <c r="W65" i="8"/>
  <c r="U65" i="8"/>
  <c r="R65" i="8"/>
  <c r="V65" i="8" s="1"/>
  <c r="Q65" i="8"/>
  <c r="W64" i="8"/>
  <c r="U64" i="8"/>
  <c r="R64" i="8"/>
  <c r="V64" i="8" s="1"/>
  <c r="Q64" i="8"/>
  <c r="W63" i="8"/>
  <c r="U63" i="8"/>
  <c r="R63" i="8"/>
  <c r="S63" i="8" s="1"/>
  <c r="Q63" i="8"/>
  <c r="W62" i="8"/>
  <c r="U62" i="8"/>
  <c r="R62" i="8"/>
  <c r="V62" i="8" s="1"/>
  <c r="Q62" i="8"/>
  <c r="W61" i="8"/>
  <c r="U61" i="8"/>
  <c r="R61" i="8"/>
  <c r="V61" i="8" s="1"/>
  <c r="Q61" i="8"/>
  <c r="W60" i="8"/>
  <c r="U60" i="8"/>
  <c r="R60" i="8"/>
  <c r="V60" i="8" s="1"/>
  <c r="Q60" i="8"/>
  <c r="W59" i="8"/>
  <c r="U59" i="8"/>
  <c r="R59" i="8"/>
  <c r="S59" i="8" s="1"/>
  <c r="Q59" i="8"/>
  <c r="W58" i="8"/>
  <c r="U58" i="8"/>
  <c r="R58" i="8"/>
  <c r="V58" i="8" s="1"/>
  <c r="Q58" i="8"/>
  <c r="W57" i="8"/>
  <c r="U57" i="8"/>
  <c r="R57" i="8"/>
  <c r="S57" i="8" s="1"/>
  <c r="Q57" i="8"/>
  <c r="W56" i="8"/>
  <c r="U56" i="8"/>
  <c r="R56" i="8"/>
  <c r="V56" i="8" s="1"/>
  <c r="Q56" i="8"/>
  <c r="W55" i="8"/>
  <c r="U55" i="8"/>
  <c r="R55" i="8"/>
  <c r="V55" i="8" s="1"/>
  <c r="Q55" i="8"/>
  <c r="W54" i="8"/>
  <c r="U54" i="8"/>
  <c r="R54" i="8"/>
  <c r="V54" i="8" s="1"/>
  <c r="Q54" i="8"/>
  <c r="W53" i="8"/>
  <c r="U53" i="8"/>
  <c r="R53" i="8"/>
  <c r="S53" i="8" s="1"/>
  <c r="Q53" i="8"/>
  <c r="W52" i="8"/>
  <c r="U52" i="8"/>
  <c r="R52" i="8"/>
  <c r="V52" i="8" s="1"/>
  <c r="Q52" i="8"/>
  <c r="W51" i="8"/>
  <c r="U51" i="8"/>
  <c r="R51" i="8"/>
  <c r="V51" i="8" s="1"/>
  <c r="Q51" i="8"/>
  <c r="W50" i="8"/>
  <c r="U50" i="8"/>
  <c r="R50" i="8"/>
  <c r="V50" i="8" s="1"/>
  <c r="Q50" i="8"/>
  <c r="W49" i="8"/>
  <c r="U49" i="8"/>
  <c r="R49" i="8"/>
  <c r="V49" i="8" s="1"/>
  <c r="Q49" i="8"/>
  <c r="W48" i="8"/>
  <c r="U48" i="8"/>
  <c r="R48" i="8"/>
  <c r="V48" i="8" s="1"/>
  <c r="Q48" i="8"/>
  <c r="W47" i="8"/>
  <c r="U47" i="8"/>
  <c r="R47" i="8"/>
  <c r="V47" i="8" s="1"/>
  <c r="Q47" i="8"/>
  <c r="W46" i="8"/>
  <c r="U46" i="8"/>
  <c r="R46" i="8"/>
  <c r="V46" i="8" s="1"/>
  <c r="Q46" i="8"/>
  <c r="W45" i="8"/>
  <c r="U45" i="8"/>
  <c r="R45" i="8"/>
  <c r="V45" i="8" s="1"/>
  <c r="Q45" i="8"/>
  <c r="W44" i="8"/>
  <c r="U44" i="8"/>
  <c r="R44" i="8"/>
  <c r="V44" i="8" s="1"/>
  <c r="Q44" i="8"/>
  <c r="W43" i="8"/>
  <c r="U43" i="8"/>
  <c r="R43" i="8"/>
  <c r="S43" i="8" s="1"/>
  <c r="Q43" i="8"/>
  <c r="W42" i="8"/>
  <c r="U42" i="8"/>
  <c r="R42" i="8"/>
  <c r="V42" i="8" s="1"/>
  <c r="Q42" i="8"/>
  <c r="W41" i="8"/>
  <c r="U41" i="8"/>
  <c r="R41" i="8"/>
  <c r="S41" i="8" s="1"/>
  <c r="Q41" i="8"/>
  <c r="W40" i="8"/>
  <c r="U40" i="8"/>
  <c r="R40" i="8"/>
  <c r="V40" i="8" s="1"/>
  <c r="Q40" i="8"/>
  <c r="W39" i="8"/>
  <c r="U39" i="8"/>
  <c r="R39" i="8"/>
  <c r="S39" i="8" s="1"/>
  <c r="Q39" i="8"/>
  <c r="W38" i="8"/>
  <c r="U38" i="8"/>
  <c r="R38" i="8"/>
  <c r="S38" i="8" s="1"/>
  <c r="Q38" i="8"/>
  <c r="W37" i="8"/>
  <c r="U37" i="8"/>
  <c r="R37" i="8"/>
  <c r="S37" i="8" s="1"/>
  <c r="Q37" i="8"/>
  <c r="W36" i="8"/>
  <c r="U36" i="8"/>
  <c r="R36" i="8"/>
  <c r="S36" i="8" s="1"/>
  <c r="Q36" i="8"/>
  <c r="W35" i="8"/>
  <c r="U35" i="8"/>
  <c r="R35" i="8"/>
  <c r="V35" i="8" s="1"/>
  <c r="Q35" i="8"/>
  <c r="W34" i="8"/>
  <c r="U34" i="8"/>
  <c r="R34" i="8"/>
  <c r="V34" i="8" s="1"/>
  <c r="Q34" i="8"/>
  <c r="W33" i="8"/>
  <c r="U33" i="8"/>
  <c r="R33" i="8"/>
  <c r="V33" i="8" s="1"/>
  <c r="Q33" i="8"/>
  <c r="W32" i="8"/>
  <c r="U32" i="8"/>
  <c r="R32" i="8"/>
  <c r="V32" i="8" s="1"/>
  <c r="Q32" i="8"/>
  <c r="W31" i="8"/>
  <c r="U31" i="8"/>
  <c r="R31" i="8"/>
  <c r="V31" i="8" s="1"/>
  <c r="Q31" i="8"/>
  <c r="W30" i="8"/>
  <c r="U30" i="8"/>
  <c r="R30" i="8"/>
  <c r="S30" i="8" s="1"/>
  <c r="Q30" i="8"/>
  <c r="W29" i="8"/>
  <c r="U29" i="8"/>
  <c r="R29" i="8"/>
  <c r="S29" i="8" s="1"/>
  <c r="Q29" i="8"/>
  <c r="W28" i="8"/>
  <c r="U28" i="8"/>
  <c r="X28" i="8" s="1"/>
  <c r="Y28" i="8" s="1"/>
  <c r="R28" i="8"/>
  <c r="S28" i="8" s="1"/>
  <c r="Q28" i="8"/>
  <c r="W27" i="8"/>
  <c r="U27" i="8"/>
  <c r="R27" i="8"/>
  <c r="V27" i="8" s="1"/>
  <c r="Q27" i="8"/>
  <c r="W26" i="8"/>
  <c r="U26" i="8"/>
  <c r="R26" i="8"/>
  <c r="V26" i="8" s="1"/>
  <c r="Q26" i="8"/>
  <c r="W25" i="8"/>
  <c r="U25" i="8"/>
  <c r="R25" i="8"/>
  <c r="S25" i="8" s="1"/>
  <c r="Q25" i="8"/>
  <c r="W24" i="8"/>
  <c r="U24" i="8"/>
  <c r="R24" i="8"/>
  <c r="V24" i="8" s="1"/>
  <c r="Q24" i="8"/>
  <c r="W23" i="8"/>
  <c r="U23" i="8"/>
  <c r="R23" i="8"/>
  <c r="S23" i="8" s="1"/>
  <c r="Q23" i="8"/>
  <c r="W22" i="8"/>
  <c r="U22" i="8"/>
  <c r="R22" i="8"/>
  <c r="S22" i="8" s="1"/>
  <c r="Q22" i="8"/>
  <c r="W21" i="8"/>
  <c r="U21" i="8"/>
  <c r="R21" i="8"/>
  <c r="V21" i="8" s="1"/>
  <c r="X21" i="8" s="1"/>
  <c r="Y21" i="8" s="1"/>
  <c r="Q21" i="8"/>
  <c r="W20" i="8"/>
  <c r="V20" i="8"/>
  <c r="U20" i="8"/>
  <c r="R20" i="8"/>
  <c r="S20" i="8" s="1"/>
  <c r="Q20" i="8"/>
  <c r="W19" i="8"/>
  <c r="U19" i="8"/>
  <c r="R19" i="8"/>
  <c r="S19" i="8" s="1"/>
  <c r="Q19" i="8"/>
  <c r="W18" i="8"/>
  <c r="U18" i="8"/>
  <c r="R18" i="8"/>
  <c r="S18" i="8" s="1"/>
  <c r="Q18" i="8"/>
  <c r="W17" i="8"/>
  <c r="U17" i="8"/>
  <c r="R17" i="8"/>
  <c r="S17" i="8" s="1"/>
  <c r="Q17" i="8"/>
  <c r="W16" i="8"/>
  <c r="U16" i="8"/>
  <c r="R16" i="8"/>
  <c r="S16" i="8" s="1"/>
  <c r="Q16" i="8"/>
  <c r="W15" i="8"/>
  <c r="U15" i="8"/>
  <c r="R15" i="8"/>
  <c r="V15" i="8" s="1"/>
  <c r="Q15" i="8"/>
  <c r="W14" i="8"/>
  <c r="U14" i="8"/>
  <c r="R14" i="8"/>
  <c r="S14" i="8" s="1"/>
  <c r="Q14" i="8"/>
  <c r="W13" i="8"/>
  <c r="U13" i="8"/>
  <c r="R13" i="8"/>
  <c r="V13" i="8" s="1"/>
  <c r="Q13" i="8"/>
  <c r="W12" i="8"/>
  <c r="U12" i="8"/>
  <c r="R12" i="8"/>
  <c r="S12" i="8" s="1"/>
  <c r="Q12" i="8"/>
  <c r="W11" i="8"/>
  <c r="U11" i="8"/>
  <c r="R11" i="8"/>
  <c r="V11" i="8" s="1"/>
  <c r="Q11" i="8"/>
  <c r="W10" i="8"/>
  <c r="U10" i="8"/>
  <c r="R10" i="8"/>
  <c r="S10" i="8" s="1"/>
  <c r="Q10" i="8"/>
  <c r="W9" i="8"/>
  <c r="U9" i="8"/>
  <c r="R9" i="8"/>
  <c r="S9" i="8" s="1"/>
  <c r="Q9" i="8"/>
  <c r="W8" i="8"/>
  <c r="U8" i="8"/>
  <c r="R8" i="8"/>
  <c r="S8" i="8" s="1"/>
  <c r="Q8" i="8"/>
  <c r="W7" i="8"/>
  <c r="U7" i="8"/>
  <c r="R7" i="8"/>
  <c r="V7" i="8" s="1"/>
  <c r="Q7" i="8"/>
  <c r="W6" i="8"/>
  <c r="U6" i="8"/>
  <c r="R6" i="8"/>
  <c r="S6" i="8" s="1"/>
  <c r="Q6" i="8"/>
  <c r="W5" i="8"/>
  <c r="U5" i="8"/>
  <c r="R5" i="8"/>
  <c r="V5" i="8" s="1"/>
  <c r="Q5" i="8"/>
  <c r="W4" i="8"/>
  <c r="U4" i="8"/>
  <c r="R4" i="8"/>
  <c r="V4" i="8" s="1"/>
  <c r="Q4" i="8"/>
  <c r="W3" i="8"/>
  <c r="U3" i="8"/>
  <c r="R3" i="8"/>
  <c r="S3" i="8" s="1"/>
  <c r="Q3" i="8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W8" i="5"/>
  <c r="W16" i="5"/>
  <c r="W20" i="5"/>
  <c r="W24" i="5"/>
  <c r="W33" i="5"/>
  <c r="W41" i="5"/>
  <c r="W49" i="5"/>
  <c r="W57" i="5"/>
  <c r="W65" i="5"/>
  <c r="W73" i="5"/>
  <c r="W81" i="5"/>
  <c r="W92" i="5"/>
  <c r="W100" i="5"/>
  <c r="W108" i="5"/>
  <c r="W116" i="5"/>
  <c r="W124" i="5"/>
  <c r="V3" i="5"/>
  <c r="V4" i="5"/>
  <c r="V5" i="5"/>
  <c r="V6" i="5"/>
  <c r="V7" i="5"/>
  <c r="V8" i="5"/>
  <c r="Y8" i="5" s="1"/>
  <c r="Z8" i="5" s="1"/>
  <c r="V9" i="5"/>
  <c r="V10" i="5"/>
  <c r="V11" i="5"/>
  <c r="V12" i="5"/>
  <c r="V13" i="5"/>
  <c r="V14" i="5"/>
  <c r="V15" i="5"/>
  <c r="V16" i="5"/>
  <c r="Y16" i="5" s="1"/>
  <c r="Z16" i="5" s="1"/>
  <c r="V17" i="5"/>
  <c r="V18" i="5"/>
  <c r="V19" i="5"/>
  <c r="V20" i="5"/>
  <c r="Y20" i="5" s="1"/>
  <c r="Z20" i="5" s="1"/>
  <c r="V21" i="5"/>
  <c r="V22" i="5"/>
  <c r="V23" i="5"/>
  <c r="V24" i="5"/>
  <c r="Y24" i="5" s="1"/>
  <c r="Z24" i="5" s="1"/>
  <c r="V25" i="5"/>
  <c r="V26" i="5"/>
  <c r="V27" i="5"/>
  <c r="V28" i="5"/>
  <c r="Y28" i="5" s="1"/>
  <c r="Z28" i="5" s="1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Y83" i="5" s="1"/>
  <c r="Z83" i="5" s="1"/>
  <c r="V84" i="5"/>
  <c r="Y84" i="5" s="1"/>
  <c r="Z84" i="5" s="1"/>
  <c r="V85" i="5"/>
  <c r="Y85" i="5" s="1"/>
  <c r="Z85" i="5" s="1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S24" i="5"/>
  <c r="A6" i="7" a="1"/>
  <c r="A6" i="7" s="1"/>
  <c r="D6" i="7" s="1"/>
  <c r="R111" i="5"/>
  <c r="S111" i="5" s="1"/>
  <c r="R4" i="5"/>
  <c r="S4" i="5" s="1"/>
  <c r="R5" i="5"/>
  <c r="S5" i="5" s="1"/>
  <c r="R6" i="5"/>
  <c r="S6" i="5" s="1"/>
  <c r="R7" i="5"/>
  <c r="S7" i="5" s="1"/>
  <c r="R8" i="5"/>
  <c r="S8" i="5" s="1"/>
  <c r="R9" i="5"/>
  <c r="S9" i="5" s="1"/>
  <c r="R10" i="5"/>
  <c r="S10" i="5" s="1"/>
  <c r="R11" i="5"/>
  <c r="S11" i="5" s="1"/>
  <c r="R12" i="5"/>
  <c r="S12" i="5" s="1"/>
  <c r="R13" i="5"/>
  <c r="S13" i="5" s="1"/>
  <c r="R14" i="5"/>
  <c r="S14" i="5" s="1"/>
  <c r="R15" i="5"/>
  <c r="S15" i="5" s="1"/>
  <c r="R16" i="5"/>
  <c r="S16" i="5" s="1"/>
  <c r="R17" i="5"/>
  <c r="S17" i="5" s="1"/>
  <c r="R18" i="5"/>
  <c r="S18" i="5" s="1"/>
  <c r="R19" i="5"/>
  <c r="S19" i="5" s="1"/>
  <c r="R20" i="5"/>
  <c r="S20" i="5" s="1"/>
  <c r="R21" i="5"/>
  <c r="S21" i="5" s="1"/>
  <c r="R22" i="5"/>
  <c r="S22" i="5" s="1"/>
  <c r="R23" i="5"/>
  <c r="S23" i="5" s="1"/>
  <c r="R24" i="5"/>
  <c r="R25" i="5"/>
  <c r="S25" i="5" s="1"/>
  <c r="R26" i="5"/>
  <c r="S26" i="5" s="1"/>
  <c r="R27" i="5"/>
  <c r="S27" i="5" s="1"/>
  <c r="R28" i="5"/>
  <c r="S28" i="5" s="1"/>
  <c r="R29" i="5"/>
  <c r="S29" i="5" s="1"/>
  <c r="R30" i="5"/>
  <c r="S30" i="5" s="1"/>
  <c r="R31" i="5"/>
  <c r="S31" i="5" s="1"/>
  <c r="R32" i="5"/>
  <c r="W32" i="5" s="1"/>
  <c r="R33" i="5"/>
  <c r="S33" i="5" s="1"/>
  <c r="R34" i="5"/>
  <c r="S34" i="5" s="1"/>
  <c r="R35" i="5"/>
  <c r="S35" i="5" s="1"/>
  <c r="R36" i="5"/>
  <c r="S36" i="5" s="1"/>
  <c r="R37" i="5"/>
  <c r="S37" i="5" s="1"/>
  <c r="R38" i="5"/>
  <c r="S38" i="5" s="1"/>
  <c r="R39" i="5"/>
  <c r="S39" i="5" s="1"/>
  <c r="R40" i="5"/>
  <c r="S40" i="5" s="1"/>
  <c r="R41" i="5"/>
  <c r="S41" i="5" s="1"/>
  <c r="R42" i="5"/>
  <c r="S42" i="5" s="1"/>
  <c r="R43" i="5"/>
  <c r="S43" i="5" s="1"/>
  <c r="R44" i="5"/>
  <c r="S44" i="5" s="1"/>
  <c r="R45" i="5"/>
  <c r="S45" i="5" s="1"/>
  <c r="R46" i="5"/>
  <c r="S46" i="5" s="1"/>
  <c r="R47" i="5"/>
  <c r="S47" i="5" s="1"/>
  <c r="R48" i="5"/>
  <c r="S48" i="5" s="1"/>
  <c r="R49" i="5"/>
  <c r="S49" i="5" s="1"/>
  <c r="R50" i="5"/>
  <c r="S50" i="5" s="1"/>
  <c r="R51" i="5"/>
  <c r="S51" i="5" s="1"/>
  <c r="R52" i="5"/>
  <c r="S52" i="5" s="1"/>
  <c r="R53" i="5"/>
  <c r="S53" i="5" s="1"/>
  <c r="R54" i="5"/>
  <c r="S54" i="5" s="1"/>
  <c r="R55" i="5"/>
  <c r="S55" i="5" s="1"/>
  <c r="R56" i="5"/>
  <c r="S56" i="5" s="1"/>
  <c r="R57" i="5"/>
  <c r="S57" i="5" s="1"/>
  <c r="R58" i="5"/>
  <c r="S58" i="5" s="1"/>
  <c r="R59" i="5"/>
  <c r="S59" i="5" s="1"/>
  <c r="R60" i="5"/>
  <c r="S60" i="5" s="1"/>
  <c r="R61" i="5"/>
  <c r="S61" i="5" s="1"/>
  <c r="R62" i="5"/>
  <c r="S62" i="5" s="1"/>
  <c r="R63" i="5"/>
  <c r="S63" i="5" s="1"/>
  <c r="R64" i="5"/>
  <c r="S64" i="5" s="1"/>
  <c r="R65" i="5"/>
  <c r="S65" i="5" s="1"/>
  <c r="R66" i="5"/>
  <c r="S66" i="5" s="1"/>
  <c r="R67" i="5"/>
  <c r="S67" i="5" s="1"/>
  <c r="R68" i="5"/>
  <c r="S68" i="5" s="1"/>
  <c r="R69" i="5"/>
  <c r="S69" i="5" s="1"/>
  <c r="R70" i="5"/>
  <c r="S70" i="5" s="1"/>
  <c r="R71" i="5"/>
  <c r="S71" i="5" s="1"/>
  <c r="R72" i="5"/>
  <c r="S72" i="5" s="1"/>
  <c r="R73" i="5"/>
  <c r="S73" i="5" s="1"/>
  <c r="R74" i="5"/>
  <c r="S74" i="5" s="1"/>
  <c r="R75" i="5"/>
  <c r="S75" i="5" s="1"/>
  <c r="R76" i="5"/>
  <c r="S76" i="5" s="1"/>
  <c r="R77" i="5"/>
  <c r="S77" i="5" s="1"/>
  <c r="R78" i="5"/>
  <c r="S78" i="5" s="1"/>
  <c r="R79" i="5"/>
  <c r="S79" i="5" s="1"/>
  <c r="R80" i="5"/>
  <c r="S80" i="5" s="1"/>
  <c r="R81" i="5"/>
  <c r="S81" i="5" s="1"/>
  <c r="R82" i="5"/>
  <c r="S82" i="5" s="1"/>
  <c r="R83" i="5"/>
  <c r="S83" i="5" s="1"/>
  <c r="R84" i="5"/>
  <c r="S84" i="5" s="1"/>
  <c r="R85" i="5"/>
  <c r="S85" i="5" s="1"/>
  <c r="R86" i="5"/>
  <c r="S86" i="5" s="1"/>
  <c r="R87" i="5"/>
  <c r="S87" i="5" s="1"/>
  <c r="R88" i="5"/>
  <c r="W88" i="5" s="1"/>
  <c r="R89" i="5"/>
  <c r="S89" i="5" s="1"/>
  <c r="R90" i="5"/>
  <c r="S90" i="5" s="1"/>
  <c r="R91" i="5"/>
  <c r="S91" i="5" s="1"/>
  <c r="R92" i="5"/>
  <c r="S92" i="5" s="1"/>
  <c r="R93" i="5"/>
  <c r="S93" i="5" s="1"/>
  <c r="R94" i="5"/>
  <c r="S94" i="5" s="1"/>
  <c r="R95" i="5"/>
  <c r="S95" i="5" s="1"/>
  <c r="R96" i="5"/>
  <c r="S96" i="5" s="1"/>
  <c r="R97" i="5"/>
  <c r="S97" i="5" s="1"/>
  <c r="R98" i="5"/>
  <c r="S98" i="5" s="1"/>
  <c r="R99" i="5"/>
  <c r="S99" i="5" s="1"/>
  <c r="R100" i="5"/>
  <c r="S100" i="5" s="1"/>
  <c r="R101" i="5"/>
  <c r="S101" i="5" s="1"/>
  <c r="R102" i="5"/>
  <c r="S102" i="5" s="1"/>
  <c r="R103" i="5"/>
  <c r="S103" i="5" s="1"/>
  <c r="R104" i="5"/>
  <c r="S104" i="5" s="1"/>
  <c r="R105" i="5"/>
  <c r="S105" i="5" s="1"/>
  <c r="R106" i="5"/>
  <c r="S106" i="5" s="1"/>
  <c r="R107" i="5"/>
  <c r="S107" i="5" s="1"/>
  <c r="R108" i="5"/>
  <c r="S108" i="5" s="1"/>
  <c r="R109" i="5"/>
  <c r="S109" i="5" s="1"/>
  <c r="R110" i="5"/>
  <c r="S110" i="5" s="1"/>
  <c r="R112" i="5"/>
  <c r="S112" i="5" s="1"/>
  <c r="R113" i="5"/>
  <c r="S113" i="5" s="1"/>
  <c r="R114" i="5"/>
  <c r="S114" i="5" s="1"/>
  <c r="R115" i="5"/>
  <c r="S115" i="5" s="1"/>
  <c r="R116" i="5"/>
  <c r="S116" i="5" s="1"/>
  <c r="R117" i="5"/>
  <c r="S117" i="5" s="1"/>
  <c r="R118" i="5"/>
  <c r="S118" i="5" s="1"/>
  <c r="R119" i="5"/>
  <c r="S119" i="5" s="1"/>
  <c r="R120" i="5"/>
  <c r="S120" i="5" s="1"/>
  <c r="R121" i="5"/>
  <c r="S121" i="5" s="1"/>
  <c r="R122" i="5"/>
  <c r="S122" i="5" s="1"/>
  <c r="R123" i="5"/>
  <c r="S123" i="5" s="1"/>
  <c r="R124" i="5"/>
  <c r="S124" i="5" s="1"/>
  <c r="R125" i="5"/>
  <c r="S125" i="5" s="1"/>
  <c r="R126" i="5"/>
  <c r="S126" i="5" s="1"/>
  <c r="R3" i="5"/>
  <c r="S3" i="5" s="1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E25" i="4"/>
  <c r="E65" i="4"/>
  <c r="D3" i="4"/>
  <c r="E3" i="4" s="1"/>
  <c r="D4" i="4"/>
  <c r="E4" i="4" s="1"/>
  <c r="D5" i="4"/>
  <c r="E5" i="4" s="1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D22" i="4"/>
  <c r="E22" i="4" s="1"/>
  <c r="D23" i="4"/>
  <c r="E23" i="4" s="1"/>
  <c r="D24" i="4"/>
  <c r="E24" i="4" s="1"/>
  <c r="D25" i="4"/>
  <c r="D26" i="4"/>
  <c r="E26" i="4" s="1"/>
  <c r="D27" i="4"/>
  <c r="E27" i="4" s="1"/>
  <c r="D28" i="4"/>
  <c r="E28" i="4" s="1"/>
  <c r="D29" i="4"/>
  <c r="E29" i="4" s="1"/>
  <c r="D30" i="4"/>
  <c r="E30" i="4" s="1"/>
  <c r="D31" i="4"/>
  <c r="E31" i="4" s="1"/>
  <c r="D32" i="4"/>
  <c r="E32" i="4" s="1"/>
  <c r="D33" i="4"/>
  <c r="E33" i="4" s="1"/>
  <c r="D34" i="4"/>
  <c r="E34" i="4" s="1"/>
  <c r="D35" i="4"/>
  <c r="E35" i="4" s="1"/>
  <c r="D36" i="4"/>
  <c r="E36" i="4" s="1"/>
  <c r="D37" i="4"/>
  <c r="E37" i="4" s="1"/>
  <c r="D38" i="4"/>
  <c r="E38" i="4" s="1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D46" i="4"/>
  <c r="E46" i="4" s="1"/>
  <c r="D47" i="4"/>
  <c r="E47" i="4" s="1"/>
  <c r="D48" i="4"/>
  <c r="E48" i="4" s="1"/>
  <c r="D49" i="4"/>
  <c r="E49" i="4" s="1"/>
  <c r="D50" i="4"/>
  <c r="E50" i="4" s="1"/>
  <c r="D51" i="4"/>
  <c r="E51" i="4" s="1"/>
  <c r="D52" i="4"/>
  <c r="E52" i="4" s="1"/>
  <c r="D53" i="4"/>
  <c r="E53" i="4" s="1"/>
  <c r="D54" i="4"/>
  <c r="E54" i="4" s="1"/>
  <c r="D55" i="4"/>
  <c r="E55" i="4" s="1"/>
  <c r="D56" i="4"/>
  <c r="E56" i="4" s="1"/>
  <c r="D57" i="4"/>
  <c r="E57" i="4" s="1"/>
  <c r="D58" i="4"/>
  <c r="E58" i="4" s="1"/>
  <c r="D59" i="4"/>
  <c r="E59" i="4" s="1"/>
  <c r="D60" i="4"/>
  <c r="E60" i="4" s="1"/>
  <c r="D61" i="4"/>
  <c r="E61" i="4" s="1"/>
  <c r="D62" i="4"/>
  <c r="E62" i="4" s="1"/>
  <c r="D63" i="4"/>
  <c r="E63" i="4" s="1"/>
  <c r="D64" i="4"/>
  <c r="E64" i="4" s="1"/>
  <c r="D65" i="4"/>
  <c r="D66" i="4"/>
  <c r="E66" i="4" s="1"/>
  <c r="D67" i="4"/>
  <c r="E67" i="4" s="1"/>
  <c r="D68" i="4"/>
  <c r="E68" i="4" s="1"/>
  <c r="D69" i="4"/>
  <c r="E69" i="4" s="1"/>
  <c r="D70" i="4"/>
  <c r="E70" i="4" s="1"/>
  <c r="D71" i="4"/>
  <c r="E71" i="4" s="1"/>
  <c r="D72" i="4"/>
  <c r="E72" i="4" s="1"/>
  <c r="D73" i="4"/>
  <c r="E73" i="4" s="1"/>
  <c r="D74" i="4"/>
  <c r="E74" i="4" s="1"/>
  <c r="D75" i="4"/>
  <c r="E75" i="4" s="1"/>
  <c r="D76" i="4"/>
  <c r="E76" i="4" s="1"/>
  <c r="D77" i="4"/>
  <c r="E77" i="4" s="1"/>
  <c r="D78" i="4"/>
  <c r="E78" i="4" s="1"/>
  <c r="D79" i="4"/>
  <c r="E79" i="4" s="1"/>
  <c r="D80" i="4"/>
  <c r="E80" i="4" s="1"/>
  <c r="D81" i="4"/>
  <c r="E81" i="4" s="1"/>
  <c r="D82" i="4"/>
  <c r="E82" i="4" s="1"/>
  <c r="D83" i="4"/>
  <c r="E83" i="4" s="1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0" i="4"/>
  <c r="E90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2" i="4"/>
  <c r="E2" i="4" s="1"/>
  <c r="D3" i="5"/>
  <c r="E3" i="5" s="1"/>
  <c r="D4" i="5"/>
  <c r="E4" i="5" s="1"/>
  <c r="D5" i="5"/>
  <c r="E5" i="5" s="1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2" i="5"/>
  <c r="E12" i="5" s="1"/>
  <c r="D13" i="5"/>
  <c r="E13" i="5" s="1"/>
  <c r="D14" i="5"/>
  <c r="E14" i="5" s="1"/>
  <c r="D15" i="5"/>
  <c r="E15" i="5" s="1"/>
  <c r="D16" i="5"/>
  <c r="E16" i="5" s="1"/>
  <c r="D17" i="5"/>
  <c r="E17" i="5" s="1"/>
  <c r="D18" i="5"/>
  <c r="E18" i="5" s="1"/>
  <c r="D19" i="5"/>
  <c r="E19" i="5" s="1"/>
  <c r="D20" i="5"/>
  <c r="E20" i="5" s="1"/>
  <c r="D21" i="5"/>
  <c r="E21" i="5" s="1"/>
  <c r="D22" i="5"/>
  <c r="E22" i="5" s="1"/>
  <c r="O8" i="5" s="1"/>
  <c r="P8" i="5" s="1"/>
  <c r="D23" i="5"/>
  <c r="E23" i="5" s="1"/>
  <c r="D24" i="5"/>
  <c r="E24" i="5" s="1"/>
  <c r="D25" i="5"/>
  <c r="E25" i="5" s="1"/>
  <c r="D26" i="5"/>
  <c r="E26" i="5" s="1"/>
  <c r="O10" i="5" s="1"/>
  <c r="P10" i="5" s="1"/>
  <c r="D27" i="5"/>
  <c r="E27" i="5" s="1"/>
  <c r="O11" i="5" s="1"/>
  <c r="P11" i="5" s="1"/>
  <c r="D28" i="5"/>
  <c r="E28" i="5" s="1"/>
  <c r="D29" i="5"/>
  <c r="E29" i="5" s="1"/>
  <c r="D30" i="5"/>
  <c r="E30" i="5" s="1"/>
  <c r="D31" i="5"/>
  <c r="E31" i="5" s="1"/>
  <c r="D32" i="5"/>
  <c r="E32" i="5" s="1"/>
  <c r="D33" i="5"/>
  <c r="E33" i="5" s="1"/>
  <c r="D34" i="5"/>
  <c r="E34" i="5" s="1"/>
  <c r="D35" i="5"/>
  <c r="E35" i="5" s="1"/>
  <c r="D36" i="5"/>
  <c r="E36" i="5" s="1"/>
  <c r="D37" i="5"/>
  <c r="E37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O17" i="5" s="1"/>
  <c r="P17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E61" i="5" s="1"/>
  <c r="D62" i="5"/>
  <c r="E62" i="5" s="1"/>
  <c r="D63" i="5"/>
  <c r="E63" i="5" s="1"/>
  <c r="D64" i="5"/>
  <c r="E64" i="5" s="1"/>
  <c r="D65" i="5"/>
  <c r="E65" i="5" s="1"/>
  <c r="D66" i="5"/>
  <c r="E66" i="5" s="1"/>
  <c r="D67" i="5"/>
  <c r="E67" i="5" s="1"/>
  <c r="D68" i="5"/>
  <c r="E68" i="5" s="1"/>
  <c r="D69" i="5"/>
  <c r="E69" i="5" s="1"/>
  <c r="D70" i="5"/>
  <c r="E70" i="5" s="1"/>
  <c r="D71" i="5"/>
  <c r="E71" i="5" s="1"/>
  <c r="D72" i="5"/>
  <c r="E72" i="5" s="1"/>
  <c r="O26" i="5" s="1"/>
  <c r="P26" i="5" s="1"/>
  <c r="D73" i="5"/>
  <c r="E73" i="5" s="1"/>
  <c r="D74" i="5"/>
  <c r="E74" i="5" s="1"/>
  <c r="D75" i="5"/>
  <c r="E75" i="5" s="1"/>
  <c r="D76" i="5"/>
  <c r="E76" i="5" s="1"/>
  <c r="D77" i="5"/>
  <c r="E77" i="5" s="1"/>
  <c r="D78" i="5"/>
  <c r="E78" i="5" s="1"/>
  <c r="D79" i="5"/>
  <c r="E79" i="5" s="1"/>
  <c r="D80" i="5"/>
  <c r="E80" i="5" s="1"/>
  <c r="D81" i="5"/>
  <c r="E81" i="5" s="1"/>
  <c r="D82" i="5"/>
  <c r="E82" i="5" s="1"/>
  <c r="D83" i="5"/>
  <c r="E83" i="5" s="1"/>
  <c r="D84" i="5"/>
  <c r="E84" i="5" s="1"/>
  <c r="D85" i="5"/>
  <c r="E85" i="5" s="1"/>
  <c r="D86" i="5"/>
  <c r="E86" i="5" s="1"/>
  <c r="D87" i="5"/>
  <c r="E87" i="5" s="1"/>
  <c r="D88" i="5"/>
  <c r="E88" i="5" s="1"/>
  <c r="D89" i="5"/>
  <c r="E89" i="5" s="1"/>
  <c r="D90" i="5"/>
  <c r="E90" i="5" s="1"/>
  <c r="D91" i="5"/>
  <c r="E91" i="5" s="1"/>
  <c r="D92" i="5"/>
  <c r="E92" i="5" s="1"/>
  <c r="D93" i="5"/>
  <c r="E93" i="5" s="1"/>
  <c r="D94" i="5"/>
  <c r="E94" i="5" s="1"/>
  <c r="D95" i="5"/>
  <c r="E95" i="5" s="1"/>
  <c r="D96" i="5"/>
  <c r="E96" i="5" s="1"/>
  <c r="D97" i="5"/>
  <c r="E97" i="5" s="1"/>
  <c r="D98" i="5"/>
  <c r="E98" i="5" s="1"/>
  <c r="D99" i="5"/>
  <c r="E99" i="5" s="1"/>
  <c r="D100" i="5"/>
  <c r="E100" i="5" s="1"/>
  <c r="D101" i="5"/>
  <c r="E101" i="5" s="1"/>
  <c r="D102" i="5"/>
  <c r="E102" i="5" s="1"/>
  <c r="D103" i="5"/>
  <c r="E103" i="5" s="1"/>
  <c r="D104" i="5"/>
  <c r="E104" i="5" s="1"/>
  <c r="D105" i="5"/>
  <c r="E105" i="5" s="1"/>
  <c r="D106" i="5"/>
  <c r="E106" i="5" s="1"/>
  <c r="D107" i="5"/>
  <c r="E107" i="5" s="1"/>
  <c r="D108" i="5"/>
  <c r="E108" i="5" s="1"/>
  <c r="D109" i="5"/>
  <c r="E109" i="5" s="1"/>
  <c r="D110" i="5"/>
  <c r="E110" i="5" s="1"/>
  <c r="D111" i="5"/>
  <c r="E111" i="5" s="1"/>
  <c r="D112" i="5"/>
  <c r="E112" i="5" s="1"/>
  <c r="D113" i="5"/>
  <c r="E113" i="5" s="1"/>
  <c r="D114" i="5"/>
  <c r="E114" i="5" s="1"/>
  <c r="D115" i="5"/>
  <c r="E115" i="5" s="1"/>
  <c r="D116" i="5"/>
  <c r="E116" i="5" s="1"/>
  <c r="D117" i="5"/>
  <c r="E117" i="5" s="1"/>
  <c r="D118" i="5"/>
  <c r="E118" i="5" s="1"/>
  <c r="D119" i="5"/>
  <c r="E119" i="5" s="1"/>
  <c r="D120" i="5"/>
  <c r="E120" i="5" s="1"/>
  <c r="D121" i="5"/>
  <c r="E121" i="5" s="1"/>
  <c r="D122" i="5"/>
  <c r="E122" i="5" s="1"/>
  <c r="D123" i="5"/>
  <c r="E123" i="5" s="1"/>
  <c r="D124" i="5"/>
  <c r="E124" i="5" s="1"/>
  <c r="D125" i="5"/>
  <c r="E125" i="5" s="1"/>
  <c r="D126" i="5"/>
  <c r="E126" i="5" s="1"/>
  <c r="D127" i="5"/>
  <c r="E127" i="5" s="1"/>
  <c r="D128" i="5"/>
  <c r="E128" i="5" s="1"/>
  <c r="D129" i="5"/>
  <c r="E129" i="5" s="1"/>
  <c r="D130" i="5"/>
  <c r="E130" i="5" s="1"/>
  <c r="D131" i="5"/>
  <c r="E131" i="5" s="1"/>
  <c r="D132" i="5"/>
  <c r="E132" i="5" s="1"/>
  <c r="D133" i="5"/>
  <c r="E133" i="5" s="1"/>
  <c r="D134" i="5"/>
  <c r="E134" i="5" s="1"/>
  <c r="D135" i="5"/>
  <c r="E135" i="5" s="1"/>
  <c r="D136" i="5"/>
  <c r="E136" i="5" s="1"/>
  <c r="D137" i="5"/>
  <c r="E137" i="5" s="1"/>
  <c r="D138" i="5"/>
  <c r="E138" i="5" s="1"/>
  <c r="D139" i="5"/>
  <c r="E139" i="5" s="1"/>
  <c r="D140" i="5"/>
  <c r="E140" i="5" s="1"/>
  <c r="D141" i="5"/>
  <c r="E141" i="5" s="1"/>
  <c r="D142" i="5"/>
  <c r="E142" i="5" s="1"/>
  <c r="D143" i="5"/>
  <c r="E143" i="5" s="1"/>
  <c r="D144" i="5"/>
  <c r="E144" i="5" s="1"/>
  <c r="D145" i="5"/>
  <c r="E145" i="5" s="1"/>
  <c r="D146" i="5"/>
  <c r="E146" i="5" s="1"/>
  <c r="D147" i="5"/>
  <c r="E147" i="5" s="1"/>
  <c r="D148" i="5"/>
  <c r="E148" i="5" s="1"/>
  <c r="D149" i="5"/>
  <c r="E149" i="5" s="1"/>
  <c r="D150" i="5"/>
  <c r="E150" i="5" s="1"/>
  <c r="D151" i="5"/>
  <c r="E151" i="5" s="1"/>
  <c r="D152" i="5"/>
  <c r="E152" i="5" s="1"/>
  <c r="D153" i="5"/>
  <c r="E153" i="5" s="1"/>
  <c r="D154" i="5"/>
  <c r="E154" i="5" s="1"/>
  <c r="O50" i="5" s="1"/>
  <c r="P50" i="5" s="1"/>
  <c r="D155" i="5"/>
  <c r="E155" i="5" s="1"/>
  <c r="D156" i="5"/>
  <c r="E156" i="5" s="1"/>
  <c r="D157" i="5"/>
  <c r="E157" i="5" s="1"/>
  <c r="D158" i="5"/>
  <c r="E158" i="5" s="1"/>
  <c r="D159" i="5"/>
  <c r="E159" i="5" s="1"/>
  <c r="D160" i="5"/>
  <c r="E160" i="5" s="1"/>
  <c r="D161" i="5"/>
  <c r="E161" i="5" s="1"/>
  <c r="D162" i="5"/>
  <c r="E162" i="5" s="1"/>
  <c r="D163" i="5"/>
  <c r="E163" i="5" s="1"/>
  <c r="D164" i="5"/>
  <c r="E164" i="5" s="1"/>
  <c r="D165" i="5"/>
  <c r="E165" i="5" s="1"/>
  <c r="D166" i="5"/>
  <c r="E166" i="5" s="1"/>
  <c r="D167" i="5"/>
  <c r="E167" i="5" s="1"/>
  <c r="D168" i="5"/>
  <c r="E168" i="5" s="1"/>
  <c r="D169" i="5"/>
  <c r="E169" i="5" s="1"/>
  <c r="D170" i="5"/>
  <c r="E170" i="5" s="1"/>
  <c r="D171" i="5"/>
  <c r="E171" i="5" s="1"/>
  <c r="D172" i="5"/>
  <c r="E172" i="5" s="1"/>
  <c r="D173" i="5"/>
  <c r="E173" i="5" s="1"/>
  <c r="D174" i="5"/>
  <c r="E174" i="5" s="1"/>
  <c r="D175" i="5"/>
  <c r="E175" i="5" s="1"/>
  <c r="D176" i="5"/>
  <c r="E176" i="5" s="1"/>
  <c r="D177" i="5"/>
  <c r="E177" i="5" s="1"/>
  <c r="D178" i="5"/>
  <c r="E178" i="5" s="1"/>
  <c r="D179" i="5"/>
  <c r="E179" i="5" s="1"/>
  <c r="D180" i="5"/>
  <c r="E180" i="5" s="1"/>
  <c r="D181" i="5"/>
  <c r="E181" i="5" s="1"/>
  <c r="D182" i="5"/>
  <c r="E182" i="5" s="1"/>
  <c r="D183" i="5"/>
  <c r="E183" i="5" s="1"/>
  <c r="D184" i="5"/>
  <c r="E184" i="5" s="1"/>
  <c r="D185" i="5"/>
  <c r="E185" i="5" s="1"/>
  <c r="D186" i="5"/>
  <c r="E186" i="5" s="1"/>
  <c r="D187" i="5"/>
  <c r="E187" i="5" s="1"/>
  <c r="D188" i="5"/>
  <c r="E188" i="5" s="1"/>
  <c r="D189" i="5"/>
  <c r="E189" i="5" s="1"/>
  <c r="D190" i="5"/>
  <c r="E190" i="5" s="1"/>
  <c r="D191" i="5"/>
  <c r="E191" i="5" s="1"/>
  <c r="D192" i="5"/>
  <c r="E192" i="5" s="1"/>
  <c r="D193" i="5"/>
  <c r="E193" i="5" s="1"/>
  <c r="D194" i="5"/>
  <c r="E194" i="5" s="1"/>
  <c r="D195" i="5"/>
  <c r="E195" i="5" s="1"/>
  <c r="D196" i="5"/>
  <c r="E196" i="5" s="1"/>
  <c r="D197" i="5"/>
  <c r="E197" i="5" s="1"/>
  <c r="D198" i="5"/>
  <c r="E198" i="5" s="1"/>
  <c r="D199" i="5"/>
  <c r="E199" i="5" s="1"/>
  <c r="O60" i="5" s="1"/>
  <c r="P60" i="5" s="1"/>
  <c r="D200" i="5"/>
  <c r="E200" i="5" s="1"/>
  <c r="D201" i="5"/>
  <c r="E201" i="5" s="1"/>
  <c r="D202" i="5"/>
  <c r="E202" i="5" s="1"/>
  <c r="D203" i="5"/>
  <c r="E203" i="5" s="1"/>
  <c r="D204" i="5"/>
  <c r="E204" i="5" s="1"/>
  <c r="D205" i="5"/>
  <c r="E205" i="5" s="1"/>
  <c r="D206" i="5"/>
  <c r="E206" i="5" s="1"/>
  <c r="D207" i="5"/>
  <c r="E207" i="5" s="1"/>
  <c r="D208" i="5"/>
  <c r="E208" i="5" s="1"/>
  <c r="D209" i="5"/>
  <c r="E209" i="5" s="1"/>
  <c r="D210" i="5"/>
  <c r="E210" i="5" s="1"/>
  <c r="D211" i="5"/>
  <c r="E211" i="5" s="1"/>
  <c r="D212" i="5"/>
  <c r="E212" i="5" s="1"/>
  <c r="D213" i="5"/>
  <c r="E213" i="5" s="1"/>
  <c r="D214" i="5"/>
  <c r="E214" i="5" s="1"/>
  <c r="D215" i="5"/>
  <c r="E215" i="5" s="1"/>
  <c r="D216" i="5"/>
  <c r="E216" i="5" s="1"/>
  <c r="D217" i="5"/>
  <c r="E217" i="5" s="1"/>
  <c r="D218" i="5"/>
  <c r="E218" i="5" s="1"/>
  <c r="O66" i="5" s="1"/>
  <c r="P66" i="5" s="1"/>
  <c r="D219" i="5"/>
  <c r="E219" i="5" s="1"/>
  <c r="D220" i="5"/>
  <c r="E220" i="5" s="1"/>
  <c r="D221" i="5"/>
  <c r="E221" i="5" s="1"/>
  <c r="D222" i="5"/>
  <c r="E222" i="5" s="1"/>
  <c r="D223" i="5"/>
  <c r="E223" i="5" s="1"/>
  <c r="D224" i="5"/>
  <c r="E224" i="5" s="1"/>
  <c r="D225" i="5"/>
  <c r="E225" i="5" s="1"/>
  <c r="D226" i="5"/>
  <c r="E226" i="5" s="1"/>
  <c r="O69" i="5" s="1"/>
  <c r="P69" i="5" s="1"/>
  <c r="D227" i="5"/>
  <c r="E227" i="5" s="1"/>
  <c r="D228" i="5"/>
  <c r="E228" i="5" s="1"/>
  <c r="D229" i="5"/>
  <c r="E229" i="5" s="1"/>
  <c r="D230" i="5"/>
  <c r="E230" i="5" s="1"/>
  <c r="D231" i="5"/>
  <c r="E231" i="5" s="1"/>
  <c r="D232" i="5"/>
  <c r="E232" i="5" s="1"/>
  <c r="D233" i="5"/>
  <c r="E233" i="5" s="1"/>
  <c r="D234" i="5"/>
  <c r="E234" i="5" s="1"/>
  <c r="D235" i="5"/>
  <c r="E235" i="5" s="1"/>
  <c r="D236" i="5"/>
  <c r="E236" i="5" s="1"/>
  <c r="D237" i="5"/>
  <c r="E237" i="5" s="1"/>
  <c r="D238" i="5"/>
  <c r="E238" i="5" s="1"/>
  <c r="D239" i="5"/>
  <c r="E239" i="5" s="1"/>
  <c r="D240" i="5"/>
  <c r="E240" i="5" s="1"/>
  <c r="D241" i="5"/>
  <c r="E241" i="5" s="1"/>
  <c r="D242" i="5"/>
  <c r="E242" i="5" s="1"/>
  <c r="D243" i="5"/>
  <c r="E243" i="5" s="1"/>
  <c r="D244" i="5"/>
  <c r="E244" i="5" s="1"/>
  <c r="D245" i="5"/>
  <c r="E245" i="5" s="1"/>
  <c r="D246" i="5"/>
  <c r="E246" i="5" s="1"/>
  <c r="D247" i="5"/>
  <c r="E247" i="5" s="1"/>
  <c r="D248" i="5"/>
  <c r="E248" i="5" s="1"/>
  <c r="D249" i="5"/>
  <c r="E249" i="5" s="1"/>
  <c r="D250" i="5"/>
  <c r="E250" i="5" s="1"/>
  <c r="O76" i="5" s="1"/>
  <c r="P76" i="5" s="1"/>
  <c r="D251" i="5"/>
  <c r="E251" i="5" s="1"/>
  <c r="D252" i="5"/>
  <c r="E252" i="5" s="1"/>
  <c r="D253" i="5"/>
  <c r="E253" i="5" s="1"/>
  <c r="D254" i="5"/>
  <c r="E254" i="5" s="1"/>
  <c r="D255" i="5"/>
  <c r="E255" i="5" s="1"/>
  <c r="D256" i="5"/>
  <c r="E256" i="5" s="1"/>
  <c r="D257" i="5"/>
  <c r="E257" i="5" s="1"/>
  <c r="D258" i="5"/>
  <c r="E258" i="5" s="1"/>
  <c r="D259" i="5"/>
  <c r="E259" i="5" s="1"/>
  <c r="D260" i="5"/>
  <c r="E260" i="5" s="1"/>
  <c r="D261" i="5"/>
  <c r="E261" i="5" s="1"/>
  <c r="D262" i="5"/>
  <c r="E262" i="5" s="1"/>
  <c r="D263" i="5"/>
  <c r="E263" i="5" s="1"/>
  <c r="O80" i="5" s="1"/>
  <c r="P80" i="5" s="1"/>
  <c r="D264" i="5"/>
  <c r="E264" i="5" s="1"/>
  <c r="D265" i="5"/>
  <c r="E265" i="5" s="1"/>
  <c r="D266" i="5"/>
  <c r="E266" i="5" s="1"/>
  <c r="D267" i="5"/>
  <c r="E267" i="5" s="1"/>
  <c r="D268" i="5"/>
  <c r="E268" i="5" s="1"/>
  <c r="D269" i="5"/>
  <c r="E269" i="5" s="1"/>
  <c r="D270" i="5"/>
  <c r="E270" i="5" s="1"/>
  <c r="D271" i="5"/>
  <c r="E271" i="5" s="1"/>
  <c r="D272" i="5"/>
  <c r="E272" i="5" s="1"/>
  <c r="D273" i="5"/>
  <c r="E273" i="5" s="1"/>
  <c r="D274" i="5"/>
  <c r="E274" i="5" s="1"/>
  <c r="D275" i="5"/>
  <c r="E275" i="5" s="1"/>
  <c r="D276" i="5"/>
  <c r="E276" i="5" s="1"/>
  <c r="D277" i="5"/>
  <c r="E277" i="5" s="1"/>
  <c r="D278" i="5"/>
  <c r="E278" i="5" s="1"/>
  <c r="D279" i="5"/>
  <c r="E279" i="5" s="1"/>
  <c r="D280" i="5"/>
  <c r="E280" i="5" s="1"/>
  <c r="D281" i="5"/>
  <c r="E281" i="5" s="1"/>
  <c r="D282" i="5"/>
  <c r="E282" i="5" s="1"/>
  <c r="D283" i="5"/>
  <c r="E283" i="5" s="1"/>
  <c r="D284" i="5"/>
  <c r="E284" i="5" s="1"/>
  <c r="D285" i="5"/>
  <c r="E285" i="5" s="1"/>
  <c r="D286" i="5"/>
  <c r="E286" i="5" s="1"/>
  <c r="D287" i="5"/>
  <c r="E287" i="5" s="1"/>
  <c r="O88" i="5" s="1"/>
  <c r="P88" i="5" s="1"/>
  <c r="D288" i="5"/>
  <c r="E288" i="5" s="1"/>
  <c r="D289" i="5"/>
  <c r="E289" i="5" s="1"/>
  <c r="D290" i="5"/>
  <c r="E290" i="5" s="1"/>
  <c r="D291" i="5"/>
  <c r="E291" i="5" s="1"/>
  <c r="D292" i="5"/>
  <c r="E292" i="5" s="1"/>
  <c r="D293" i="5"/>
  <c r="E293" i="5" s="1"/>
  <c r="D294" i="5"/>
  <c r="E294" i="5" s="1"/>
  <c r="D295" i="5"/>
  <c r="E295" i="5" s="1"/>
  <c r="D296" i="5"/>
  <c r="E296" i="5" s="1"/>
  <c r="D297" i="5"/>
  <c r="E297" i="5" s="1"/>
  <c r="D298" i="5"/>
  <c r="E298" i="5" s="1"/>
  <c r="D299" i="5"/>
  <c r="E299" i="5" s="1"/>
  <c r="D300" i="5"/>
  <c r="E300" i="5" s="1"/>
  <c r="D301" i="5"/>
  <c r="E301" i="5" s="1"/>
  <c r="D302" i="5"/>
  <c r="E302" i="5" s="1"/>
  <c r="D303" i="5"/>
  <c r="E303" i="5" s="1"/>
  <c r="D304" i="5"/>
  <c r="E304" i="5" s="1"/>
  <c r="D305" i="5"/>
  <c r="E305" i="5" s="1"/>
  <c r="D306" i="5"/>
  <c r="E306" i="5" s="1"/>
  <c r="D307" i="5"/>
  <c r="E307" i="5" s="1"/>
  <c r="D308" i="5"/>
  <c r="E308" i="5" s="1"/>
  <c r="D309" i="5"/>
  <c r="E309" i="5" s="1"/>
  <c r="D310" i="5"/>
  <c r="E310" i="5" s="1"/>
  <c r="O95" i="5" s="1"/>
  <c r="P95" i="5" s="1"/>
  <c r="D311" i="5"/>
  <c r="E311" i="5" s="1"/>
  <c r="D312" i="5"/>
  <c r="E312" i="5" s="1"/>
  <c r="D313" i="5"/>
  <c r="E313" i="5" s="1"/>
  <c r="D314" i="5"/>
  <c r="E314" i="5" s="1"/>
  <c r="D315" i="5"/>
  <c r="E315" i="5" s="1"/>
  <c r="D316" i="5"/>
  <c r="E316" i="5" s="1"/>
  <c r="D317" i="5"/>
  <c r="E317" i="5" s="1"/>
  <c r="O98" i="5" s="1"/>
  <c r="P98" i="5" s="1"/>
  <c r="D318" i="5"/>
  <c r="E318" i="5" s="1"/>
  <c r="D319" i="5"/>
  <c r="E319" i="5" s="1"/>
  <c r="D320" i="5"/>
  <c r="E320" i="5" s="1"/>
  <c r="D321" i="5"/>
  <c r="E321" i="5" s="1"/>
  <c r="O100" i="5" s="1"/>
  <c r="P100" i="5" s="1"/>
  <c r="D322" i="5"/>
  <c r="E322" i="5" s="1"/>
  <c r="O101" i="5" s="1"/>
  <c r="P101" i="5" s="1"/>
  <c r="D323" i="5"/>
  <c r="E323" i="5" s="1"/>
  <c r="D324" i="5"/>
  <c r="E324" i="5" s="1"/>
  <c r="D325" i="5"/>
  <c r="E325" i="5" s="1"/>
  <c r="D326" i="5"/>
  <c r="E326" i="5" s="1"/>
  <c r="D327" i="5"/>
  <c r="E327" i="5" s="1"/>
  <c r="O103" i="5" s="1"/>
  <c r="P103" i="5" s="1"/>
  <c r="D328" i="5"/>
  <c r="E328" i="5" s="1"/>
  <c r="D329" i="5"/>
  <c r="E329" i="5" s="1"/>
  <c r="D330" i="5"/>
  <c r="E330" i="5" s="1"/>
  <c r="D331" i="5"/>
  <c r="E331" i="5" s="1"/>
  <c r="D332" i="5"/>
  <c r="E332" i="5" s="1"/>
  <c r="D333" i="5"/>
  <c r="E333" i="5" s="1"/>
  <c r="D334" i="5"/>
  <c r="E334" i="5" s="1"/>
  <c r="D335" i="5"/>
  <c r="E335" i="5" s="1"/>
  <c r="D336" i="5"/>
  <c r="E336" i="5" s="1"/>
  <c r="D337" i="5"/>
  <c r="E337" i="5" s="1"/>
  <c r="D338" i="5"/>
  <c r="E338" i="5" s="1"/>
  <c r="D339" i="5"/>
  <c r="E339" i="5" s="1"/>
  <c r="O107" i="5" s="1"/>
  <c r="P107" i="5" s="1"/>
  <c r="D340" i="5"/>
  <c r="E340" i="5" s="1"/>
  <c r="D341" i="5"/>
  <c r="E341" i="5" s="1"/>
  <c r="D342" i="5"/>
  <c r="E342" i="5" s="1"/>
  <c r="D343" i="5"/>
  <c r="E343" i="5" s="1"/>
  <c r="D344" i="5"/>
  <c r="E344" i="5" s="1"/>
  <c r="D345" i="5"/>
  <c r="E345" i="5" s="1"/>
  <c r="D346" i="5"/>
  <c r="E346" i="5" s="1"/>
  <c r="D347" i="5"/>
  <c r="E347" i="5" s="1"/>
  <c r="D348" i="5"/>
  <c r="E348" i="5" s="1"/>
  <c r="D349" i="5"/>
  <c r="E349" i="5" s="1"/>
  <c r="D350" i="5"/>
  <c r="E350" i="5" s="1"/>
  <c r="D351" i="5"/>
  <c r="E351" i="5" s="1"/>
  <c r="D352" i="5"/>
  <c r="E352" i="5" s="1"/>
  <c r="D353" i="5"/>
  <c r="E353" i="5" s="1"/>
  <c r="D354" i="5"/>
  <c r="E354" i="5" s="1"/>
  <c r="D355" i="5"/>
  <c r="E355" i="5" s="1"/>
  <c r="D356" i="5"/>
  <c r="E356" i="5" s="1"/>
  <c r="D357" i="5"/>
  <c r="E357" i="5" s="1"/>
  <c r="D358" i="5"/>
  <c r="E358" i="5" s="1"/>
  <c r="O112" i="5" s="1"/>
  <c r="P112" i="5" s="1"/>
  <c r="D359" i="5"/>
  <c r="E359" i="5" s="1"/>
  <c r="D360" i="5"/>
  <c r="E360" i="5" s="1"/>
  <c r="D361" i="5"/>
  <c r="E361" i="5" s="1"/>
  <c r="D362" i="5"/>
  <c r="E362" i="5" s="1"/>
  <c r="D363" i="5"/>
  <c r="E363" i="5" s="1"/>
  <c r="D364" i="5"/>
  <c r="E364" i="5" s="1"/>
  <c r="D365" i="5"/>
  <c r="E365" i="5" s="1"/>
  <c r="D366" i="5"/>
  <c r="E366" i="5" s="1"/>
  <c r="D367" i="5"/>
  <c r="E367" i="5" s="1"/>
  <c r="D368" i="5"/>
  <c r="E368" i="5" s="1"/>
  <c r="D369" i="5"/>
  <c r="E369" i="5" s="1"/>
  <c r="D370" i="5"/>
  <c r="E370" i="5" s="1"/>
  <c r="O115" i="5" s="1"/>
  <c r="P115" i="5" s="1"/>
  <c r="D371" i="5"/>
  <c r="E371" i="5" s="1"/>
  <c r="D372" i="5"/>
  <c r="E372" i="5" s="1"/>
  <c r="D373" i="5"/>
  <c r="E373" i="5" s="1"/>
  <c r="D374" i="5"/>
  <c r="E374" i="5" s="1"/>
  <c r="D375" i="5"/>
  <c r="E375" i="5" s="1"/>
  <c r="D376" i="5"/>
  <c r="E376" i="5" s="1"/>
  <c r="D377" i="5"/>
  <c r="E377" i="5" s="1"/>
  <c r="D378" i="5"/>
  <c r="E378" i="5" s="1"/>
  <c r="D379" i="5"/>
  <c r="E379" i="5" s="1"/>
  <c r="D380" i="5"/>
  <c r="E380" i="5" s="1"/>
  <c r="D381" i="5"/>
  <c r="E381" i="5" s="1"/>
  <c r="D382" i="5"/>
  <c r="E382" i="5" s="1"/>
  <c r="D383" i="5"/>
  <c r="E383" i="5" s="1"/>
  <c r="D384" i="5"/>
  <c r="E384" i="5" s="1"/>
  <c r="D385" i="5"/>
  <c r="E385" i="5" s="1"/>
  <c r="D386" i="5"/>
  <c r="E386" i="5" s="1"/>
  <c r="D387" i="5"/>
  <c r="E387" i="5" s="1"/>
  <c r="D388" i="5"/>
  <c r="E388" i="5" s="1"/>
  <c r="D389" i="5"/>
  <c r="E389" i="5" s="1"/>
  <c r="D390" i="5"/>
  <c r="E390" i="5" s="1"/>
  <c r="D391" i="5"/>
  <c r="E391" i="5" s="1"/>
  <c r="D392" i="5"/>
  <c r="E392" i="5" s="1"/>
  <c r="O123" i="5" s="1"/>
  <c r="P123" i="5" s="1"/>
  <c r="D393" i="5"/>
  <c r="E393" i="5" s="1"/>
  <c r="D394" i="5"/>
  <c r="E394" i="5" s="1"/>
  <c r="D395" i="5"/>
  <c r="E395" i="5" s="1"/>
  <c r="D396" i="5"/>
  <c r="E396" i="5" s="1"/>
  <c r="D397" i="5"/>
  <c r="E397" i="5" s="1"/>
  <c r="O125" i="5" s="1"/>
  <c r="P125" i="5" s="1"/>
  <c r="D398" i="5"/>
  <c r="E398" i="5" s="1"/>
  <c r="D399" i="5"/>
  <c r="E399" i="5" s="1"/>
  <c r="D2" i="5"/>
  <c r="E2" i="5" s="1"/>
  <c r="H1" i="3" a="1"/>
  <c r="H1" i="3" s="1"/>
  <c r="G1" i="3" a="1"/>
  <c r="G1" i="3" s="1"/>
  <c r="V98" i="8" l="1"/>
  <c r="X98" i="8" s="1"/>
  <c r="Y98" i="8" s="1"/>
  <c r="X100" i="8"/>
  <c r="Y100" i="8" s="1"/>
  <c r="S102" i="8"/>
  <c r="V117" i="8"/>
  <c r="S119" i="8"/>
  <c r="O106" i="8"/>
  <c r="V59" i="8"/>
  <c r="X40" i="8"/>
  <c r="Y40" i="8" s="1"/>
  <c r="X46" i="8"/>
  <c r="Y46" i="8" s="1"/>
  <c r="X50" i="8"/>
  <c r="Y50" i="8" s="1"/>
  <c r="V87" i="8"/>
  <c r="X120" i="8"/>
  <c r="Y120" i="8" s="1"/>
  <c r="S122" i="8"/>
  <c r="O76" i="8"/>
  <c r="O69" i="8"/>
  <c r="O66" i="8"/>
  <c r="P66" i="8" s="1"/>
  <c r="O50" i="8"/>
  <c r="X52" i="8"/>
  <c r="Y52" i="8" s="1"/>
  <c r="X56" i="8"/>
  <c r="Y56" i="8" s="1"/>
  <c r="O18" i="8"/>
  <c r="V6" i="8"/>
  <c r="V37" i="8"/>
  <c r="X37" i="8" s="1"/>
  <c r="Y37" i="8" s="1"/>
  <c r="X68" i="8"/>
  <c r="Y68" i="8" s="1"/>
  <c r="V29" i="8"/>
  <c r="X29" i="8" s="1"/>
  <c r="Y29" i="8" s="1"/>
  <c r="V108" i="8"/>
  <c r="V86" i="8"/>
  <c r="O87" i="8"/>
  <c r="O79" i="8"/>
  <c r="O70" i="8"/>
  <c r="O67" i="8"/>
  <c r="O59" i="8"/>
  <c r="O54" i="8"/>
  <c r="P54" i="8" s="1"/>
  <c r="O51" i="8"/>
  <c r="O43" i="8"/>
  <c r="O39" i="8"/>
  <c r="O12" i="8"/>
  <c r="X20" i="8"/>
  <c r="Y20" i="8" s="1"/>
  <c r="V43" i="8"/>
  <c r="X43" i="8" s="1"/>
  <c r="Y43" i="8" s="1"/>
  <c r="S7" i="8"/>
  <c r="X13" i="8"/>
  <c r="Y13" i="8" s="1"/>
  <c r="X67" i="8"/>
  <c r="Y67" i="8" s="1"/>
  <c r="S104" i="8"/>
  <c r="X126" i="8"/>
  <c r="Y126" i="8" s="1"/>
  <c r="O92" i="8"/>
  <c r="O84" i="8"/>
  <c r="O64" i="8"/>
  <c r="O58" i="8"/>
  <c r="P58" i="8" s="1"/>
  <c r="O47" i="8"/>
  <c r="P47" i="8" s="1"/>
  <c r="O29" i="8"/>
  <c r="O27" i="8"/>
  <c r="O23" i="8"/>
  <c r="O19" i="8"/>
  <c r="S60" i="8"/>
  <c r="O104" i="8"/>
  <c r="O55" i="8"/>
  <c r="P55" i="8" s="1"/>
  <c r="V17" i="8"/>
  <c r="X17" i="8" s="1"/>
  <c r="Y17" i="8" s="1"/>
  <c r="S48" i="8"/>
  <c r="V57" i="8"/>
  <c r="X57" i="8" s="1"/>
  <c r="Y57" i="8" s="1"/>
  <c r="O113" i="8"/>
  <c r="P113" i="8" s="1"/>
  <c r="O109" i="8"/>
  <c r="O96" i="8"/>
  <c r="O86" i="8"/>
  <c r="O71" i="8"/>
  <c r="P71" i="8" s="1"/>
  <c r="O68" i="8"/>
  <c r="P68" i="8" s="1"/>
  <c r="O65" i="8"/>
  <c r="P65" i="8" s="1"/>
  <c r="O52" i="8"/>
  <c r="O49" i="8"/>
  <c r="P49" i="8" s="1"/>
  <c r="O44" i="8"/>
  <c r="O13" i="8"/>
  <c r="O9" i="8"/>
  <c r="X71" i="8"/>
  <c r="Y71" i="8" s="1"/>
  <c r="O89" i="8"/>
  <c r="O61" i="8"/>
  <c r="P61" i="8" s="1"/>
  <c r="V19" i="8"/>
  <c r="X32" i="8"/>
  <c r="Y32" i="8" s="1"/>
  <c r="X34" i="8"/>
  <c r="Y34" i="8" s="1"/>
  <c r="X54" i="8"/>
  <c r="Y54" i="8" s="1"/>
  <c r="V73" i="8"/>
  <c r="X73" i="8" s="1"/>
  <c r="Y73" i="8" s="1"/>
  <c r="S125" i="8"/>
  <c r="O126" i="8"/>
  <c r="P126" i="8" s="1"/>
  <c r="O117" i="8"/>
  <c r="O63" i="8"/>
  <c r="P63" i="8" s="1"/>
  <c r="O57" i="8"/>
  <c r="O35" i="8"/>
  <c r="O28" i="8"/>
  <c r="O22" i="8"/>
  <c r="O21" i="8"/>
  <c r="P21" i="8" s="1"/>
  <c r="O120" i="8"/>
  <c r="P120" i="8" s="1"/>
  <c r="O78" i="8"/>
  <c r="V103" i="8"/>
  <c r="X103" i="8" s="1"/>
  <c r="Y103" i="8" s="1"/>
  <c r="V115" i="8"/>
  <c r="X115" i="8" s="1"/>
  <c r="Y115" i="8" s="1"/>
  <c r="O114" i="8"/>
  <c r="O108" i="8"/>
  <c r="O102" i="8"/>
  <c r="O93" i="8"/>
  <c r="P93" i="8" s="1"/>
  <c r="O90" i="8"/>
  <c r="O85" i="8"/>
  <c r="O82" i="8"/>
  <c r="P82" i="8" s="1"/>
  <c r="O77" i="8"/>
  <c r="O74" i="8"/>
  <c r="O48" i="8"/>
  <c r="O34" i="8"/>
  <c r="O32" i="8"/>
  <c r="P32" i="8" s="1"/>
  <c r="O24" i="8"/>
  <c r="P24" i="8" s="1"/>
  <c r="O123" i="8"/>
  <c r="O81" i="8"/>
  <c r="P81" i="8" s="1"/>
  <c r="O40" i="8"/>
  <c r="O111" i="8"/>
  <c r="P111" i="8" s="1"/>
  <c r="O33" i="8"/>
  <c r="V3" i="8"/>
  <c r="X3" i="8" s="1"/>
  <c r="Y3" i="8" s="1"/>
  <c r="V23" i="8"/>
  <c r="X23" i="8" s="1"/>
  <c r="Y23" i="8" s="1"/>
  <c r="V38" i="8"/>
  <c r="X38" i="8" s="1"/>
  <c r="Y38" i="8" s="1"/>
  <c r="V89" i="8"/>
  <c r="X122" i="8"/>
  <c r="Y122" i="8" s="1"/>
  <c r="O124" i="8"/>
  <c r="O118" i="8"/>
  <c r="O116" i="8"/>
  <c r="O105" i="8"/>
  <c r="O101" i="8"/>
  <c r="P101" i="8" s="1"/>
  <c r="O94" i="8"/>
  <c r="P94" i="8" s="1"/>
  <c r="O72" i="8"/>
  <c r="O56" i="8"/>
  <c r="P56" i="8" s="1"/>
  <c r="O42" i="8"/>
  <c r="O41" i="8"/>
  <c r="P41" i="8" s="1"/>
  <c r="O15" i="8"/>
  <c r="O4" i="8"/>
  <c r="O3" i="8"/>
  <c r="P3" i="8" s="1"/>
  <c r="O38" i="8"/>
  <c r="P38" i="8" s="1"/>
  <c r="O5" i="8"/>
  <c r="V25" i="8"/>
  <c r="X25" i="8" s="1"/>
  <c r="Y25" i="8" s="1"/>
  <c r="S42" i="8"/>
  <c r="S51" i="8"/>
  <c r="X55" i="8"/>
  <c r="Y55" i="8" s="1"/>
  <c r="X58" i="8"/>
  <c r="Y58" i="8" s="1"/>
  <c r="V93" i="8"/>
  <c r="X93" i="8" s="1"/>
  <c r="Y93" i="8" s="1"/>
  <c r="X116" i="8"/>
  <c r="Y116" i="8" s="1"/>
  <c r="O97" i="8"/>
  <c r="P97" i="8" s="1"/>
  <c r="O45" i="8"/>
  <c r="O36" i="8"/>
  <c r="V9" i="8"/>
  <c r="X9" i="8" s="1"/>
  <c r="Y9" i="8" s="1"/>
  <c r="S11" i="8"/>
  <c r="S21" i="8"/>
  <c r="X44" i="8"/>
  <c r="Y44" i="8" s="1"/>
  <c r="V53" i="8"/>
  <c r="X53" i="8" s="1"/>
  <c r="Y53" i="8" s="1"/>
  <c r="X61" i="8"/>
  <c r="Y61" i="8" s="1"/>
  <c r="X65" i="8"/>
  <c r="Y65" i="8" s="1"/>
  <c r="X70" i="8"/>
  <c r="Y70" i="8" s="1"/>
  <c r="X72" i="8"/>
  <c r="Y72" i="8" s="1"/>
  <c r="V81" i="8"/>
  <c r="X81" i="8" s="1"/>
  <c r="Y81" i="8" s="1"/>
  <c r="V92" i="8"/>
  <c r="X96" i="8"/>
  <c r="Y96" i="8" s="1"/>
  <c r="X118" i="8"/>
  <c r="Y118" i="8" s="1"/>
  <c r="X121" i="8"/>
  <c r="Y121" i="8" s="1"/>
  <c r="S124" i="8"/>
  <c r="O73" i="8"/>
  <c r="P73" i="8" s="1"/>
  <c r="O17" i="8"/>
  <c r="P17" i="8" s="1"/>
  <c r="X15" i="8"/>
  <c r="Y15" i="8" s="1"/>
  <c r="P31" i="8"/>
  <c r="P6" i="8"/>
  <c r="O16" i="8"/>
  <c r="P16" i="8" s="1"/>
  <c r="P98" i="8"/>
  <c r="V63" i="8"/>
  <c r="X63" i="8" s="1"/>
  <c r="Y63" i="8" s="1"/>
  <c r="S15" i="8"/>
  <c r="X27" i="8"/>
  <c r="Y27" i="8" s="1"/>
  <c r="X74" i="8"/>
  <c r="Y74" i="8" s="1"/>
  <c r="X87" i="8"/>
  <c r="Y87" i="8" s="1"/>
  <c r="P10" i="8"/>
  <c r="O119" i="8"/>
  <c r="P119" i="8" s="1"/>
  <c r="O31" i="8"/>
  <c r="X35" i="8"/>
  <c r="Y35" i="8" s="1"/>
  <c r="X47" i="8"/>
  <c r="Y47" i="8" s="1"/>
  <c r="O110" i="8"/>
  <c r="P110" i="8" s="1"/>
  <c r="O46" i="8"/>
  <c r="P46" i="8" s="1"/>
  <c r="O30" i="8"/>
  <c r="P30" i="8" s="1"/>
  <c r="O14" i="8"/>
  <c r="P14" i="8" s="1"/>
  <c r="O6" i="8"/>
  <c r="S5" i="8"/>
  <c r="S35" i="8"/>
  <c r="S47" i="8"/>
  <c r="S56" i="8"/>
  <c r="X62" i="8"/>
  <c r="Y62" i="8" s="1"/>
  <c r="X69" i="8"/>
  <c r="Y69" i="8" s="1"/>
  <c r="X86" i="8"/>
  <c r="Y86" i="8" s="1"/>
  <c r="X108" i="8"/>
  <c r="Y108" i="8" s="1"/>
  <c r="X112" i="8"/>
  <c r="Y112" i="8" s="1"/>
  <c r="P26" i="8"/>
  <c r="O125" i="8"/>
  <c r="P125" i="8" s="1"/>
  <c r="O53" i="8"/>
  <c r="P53" i="8" s="1"/>
  <c r="O37" i="8"/>
  <c r="P37" i="8" s="1"/>
  <c r="X7" i="8"/>
  <c r="Y7" i="8" s="1"/>
  <c r="X125" i="8"/>
  <c r="Y125" i="8" s="1"/>
  <c r="P103" i="8"/>
  <c r="P88" i="8"/>
  <c r="P80" i="8"/>
  <c r="P13" i="8"/>
  <c r="O100" i="8"/>
  <c r="P100" i="8" s="1"/>
  <c r="O60" i="8"/>
  <c r="P60" i="8" s="1"/>
  <c r="X26" i="8"/>
  <c r="Y26" i="8" s="1"/>
  <c r="X75" i="8"/>
  <c r="Y75" i="8" s="1"/>
  <c r="X77" i="8"/>
  <c r="Y77" i="8" s="1"/>
  <c r="X79" i="8"/>
  <c r="Y79" i="8" s="1"/>
  <c r="X107" i="8"/>
  <c r="Y107" i="8" s="1"/>
  <c r="X114" i="8"/>
  <c r="Y114" i="8" s="1"/>
  <c r="P122" i="8"/>
  <c r="P117" i="8"/>
  <c r="P112" i="8"/>
  <c r="P95" i="8"/>
  <c r="P57" i="8"/>
  <c r="P28" i="8"/>
  <c r="P25" i="8"/>
  <c r="P22" i="8"/>
  <c r="P18" i="8"/>
  <c r="P8" i="8"/>
  <c r="O115" i="8"/>
  <c r="P115" i="8" s="1"/>
  <c r="O107" i="8"/>
  <c r="P107" i="8" s="1"/>
  <c r="O99" i="8"/>
  <c r="P99" i="8" s="1"/>
  <c r="O91" i="8"/>
  <c r="P91" i="8" s="1"/>
  <c r="O83" i="8"/>
  <c r="P83" i="8" s="1"/>
  <c r="O75" i="8"/>
  <c r="P75" i="8" s="1"/>
  <c r="O11" i="8"/>
  <c r="P11" i="8" s="1"/>
  <c r="X51" i="8"/>
  <c r="Y51" i="8" s="1"/>
  <c r="X11" i="8"/>
  <c r="Y11" i="8" s="1"/>
  <c r="S13" i="8"/>
  <c r="X19" i="8"/>
  <c r="Y19" i="8" s="1"/>
  <c r="S27" i="8"/>
  <c r="S33" i="8"/>
  <c r="S55" i="8"/>
  <c r="S69" i="8"/>
  <c r="S75" i="8"/>
  <c r="X89" i="8"/>
  <c r="Y89" i="8" s="1"/>
  <c r="S97" i="8"/>
  <c r="X24" i="8"/>
  <c r="Y24" i="8" s="1"/>
  <c r="V30" i="8"/>
  <c r="X30" i="8" s="1"/>
  <c r="Y30" i="8" s="1"/>
  <c r="S32" i="8"/>
  <c r="X33" i="8"/>
  <c r="Y33" i="8" s="1"/>
  <c r="V41" i="8"/>
  <c r="X41" i="8" s="1"/>
  <c r="Y41" i="8" s="1"/>
  <c r="X49" i="8"/>
  <c r="Y49" i="8" s="1"/>
  <c r="S52" i="8"/>
  <c r="X59" i="8"/>
  <c r="Y59" i="8" s="1"/>
  <c r="S65" i="8"/>
  <c r="S88" i="8"/>
  <c r="X97" i="8"/>
  <c r="Y97" i="8" s="1"/>
  <c r="X102" i="8"/>
  <c r="Y102" i="8" s="1"/>
  <c r="S106" i="8"/>
  <c r="S118" i="8"/>
  <c r="X119" i="8"/>
  <c r="Y119" i="8" s="1"/>
  <c r="X124" i="8"/>
  <c r="Y124" i="8" s="1"/>
  <c r="X5" i="8"/>
  <c r="Y5" i="8" s="1"/>
  <c r="S61" i="8"/>
  <c r="S68" i="8"/>
  <c r="S71" i="8"/>
  <c r="S77" i="8"/>
  <c r="X88" i="8"/>
  <c r="Y88" i="8" s="1"/>
  <c r="V94" i="8"/>
  <c r="X94" i="8" s="1"/>
  <c r="Y94" i="8" s="1"/>
  <c r="S96" i="8"/>
  <c r="S100" i="8"/>
  <c r="S105" i="8"/>
  <c r="X106" i="8"/>
  <c r="Y106" i="8" s="1"/>
  <c r="S110" i="8"/>
  <c r="S113" i="8"/>
  <c r="X123" i="8"/>
  <c r="Y123" i="8" s="1"/>
  <c r="S126" i="8"/>
  <c r="X64" i="8"/>
  <c r="Y64" i="8" s="1"/>
  <c r="V91" i="8"/>
  <c r="X91" i="8" s="1"/>
  <c r="Y91" i="8" s="1"/>
  <c r="V101" i="8"/>
  <c r="X101" i="8" s="1"/>
  <c r="Y101" i="8" s="1"/>
  <c r="X110" i="8"/>
  <c r="Y110" i="8" s="1"/>
  <c r="X113" i="8"/>
  <c r="Y113" i="8" s="1"/>
  <c r="X31" i="8"/>
  <c r="Y31" i="8" s="1"/>
  <c r="X42" i="8"/>
  <c r="Y42" i="8" s="1"/>
  <c r="X48" i="8"/>
  <c r="Y48" i="8" s="1"/>
  <c r="X60" i="8"/>
  <c r="Y60" i="8" s="1"/>
  <c r="S64" i="8"/>
  <c r="S79" i="8"/>
  <c r="S90" i="8"/>
  <c r="S99" i="8"/>
  <c r="X109" i="8"/>
  <c r="Y109" i="8" s="1"/>
  <c r="S112" i="8"/>
  <c r="S116" i="8"/>
  <c r="X117" i="8"/>
  <c r="Y117" i="8" s="1"/>
  <c r="S121" i="8"/>
  <c r="X6" i="8"/>
  <c r="Y6" i="8" s="1"/>
  <c r="X90" i="8"/>
  <c r="Y90" i="8" s="1"/>
  <c r="X99" i="8"/>
  <c r="Y99" i="8" s="1"/>
  <c r="X66" i="8"/>
  <c r="Y66" i="8" s="1"/>
  <c r="P35" i="8"/>
  <c r="P121" i="8"/>
  <c r="P108" i="8"/>
  <c r="P102" i="8"/>
  <c r="P87" i="8"/>
  <c r="P85" i="8"/>
  <c r="P79" i="8"/>
  <c r="P77" i="8"/>
  <c r="P70" i="8"/>
  <c r="P67" i="8"/>
  <c r="P62" i="8"/>
  <c r="P59" i="8"/>
  <c r="P51" i="8"/>
  <c r="P48" i="8"/>
  <c r="P43" i="8"/>
  <c r="P39" i="8"/>
  <c r="P20" i="8"/>
  <c r="P7" i="8"/>
  <c r="P52" i="8"/>
  <c r="P116" i="8"/>
  <c r="P105" i="8"/>
  <c r="P90" i="8"/>
  <c r="P74" i="8"/>
  <c r="P34" i="8"/>
  <c r="P15" i="8"/>
  <c r="P109" i="8"/>
  <c r="P86" i="8"/>
  <c r="P124" i="8"/>
  <c r="P118" i="8"/>
  <c r="P114" i="8"/>
  <c r="P76" i="8"/>
  <c r="P72" i="8"/>
  <c r="P69" i="8"/>
  <c r="P50" i="8"/>
  <c r="P45" i="8"/>
  <c r="P36" i="8"/>
  <c r="P92" i="8"/>
  <c r="P84" i="8"/>
  <c r="P64" i="8"/>
  <c r="P42" i="8"/>
  <c r="P29" i="8"/>
  <c r="P27" i="8"/>
  <c r="P23" i="8"/>
  <c r="P19" i="8"/>
  <c r="P44" i="8"/>
  <c r="P123" i="8"/>
  <c r="P106" i="8"/>
  <c r="P104" i="8"/>
  <c r="P96" i="8"/>
  <c r="P89" i="8"/>
  <c r="P78" i="8"/>
  <c r="P40" i="8"/>
  <c r="P33" i="8"/>
  <c r="X4" i="8"/>
  <c r="Y4" i="8" s="1"/>
  <c r="P5" i="8"/>
  <c r="P12" i="8"/>
  <c r="P9" i="8"/>
  <c r="L2" i="8"/>
  <c r="G2" i="8"/>
  <c r="P4" i="8"/>
  <c r="X45" i="8"/>
  <c r="Y45" i="8" s="1"/>
  <c r="S45" i="8"/>
  <c r="S49" i="8"/>
  <c r="S54" i="8"/>
  <c r="S70" i="8"/>
  <c r="X92" i="8"/>
  <c r="Y92" i="8" s="1"/>
  <c r="S4" i="8"/>
  <c r="S34" i="8"/>
  <c r="V36" i="8"/>
  <c r="X36" i="8" s="1"/>
  <c r="Y36" i="8" s="1"/>
  <c r="S50" i="8"/>
  <c r="S66" i="8"/>
  <c r="S24" i="8"/>
  <c r="S26" i="8"/>
  <c r="S31" i="8"/>
  <c r="V8" i="8"/>
  <c r="X8" i="8" s="1"/>
  <c r="Y8" i="8" s="1"/>
  <c r="V10" i="8"/>
  <c r="X10" i="8" s="1"/>
  <c r="Y10" i="8" s="1"/>
  <c r="V12" i="8"/>
  <c r="X12" i="8" s="1"/>
  <c r="Y12" i="8" s="1"/>
  <c r="V14" i="8"/>
  <c r="X14" i="8" s="1"/>
  <c r="Y14" i="8" s="1"/>
  <c r="V16" i="8"/>
  <c r="X16" i="8" s="1"/>
  <c r="Y16" i="8" s="1"/>
  <c r="V18" i="8"/>
  <c r="X18" i="8" s="1"/>
  <c r="Y18" i="8" s="1"/>
  <c r="V22" i="8"/>
  <c r="X22" i="8" s="1"/>
  <c r="Y22" i="8" s="1"/>
  <c r="V39" i="8"/>
  <c r="X39" i="8" s="1"/>
  <c r="Y39" i="8" s="1"/>
  <c r="S46" i="8"/>
  <c r="S72" i="8"/>
  <c r="V82" i="8"/>
  <c r="X82" i="8" s="1"/>
  <c r="Y82" i="8" s="1"/>
  <c r="S82" i="8"/>
  <c r="S40" i="8"/>
  <c r="S62" i="8"/>
  <c r="V78" i="8"/>
  <c r="X78" i="8" s="1"/>
  <c r="Y78" i="8" s="1"/>
  <c r="S78" i="8"/>
  <c r="V80" i="8"/>
  <c r="X80" i="8" s="1"/>
  <c r="Y80" i="8" s="1"/>
  <c r="S80" i="8"/>
  <c r="V111" i="8"/>
  <c r="X111" i="8" s="1"/>
  <c r="Y111" i="8" s="1"/>
  <c r="S111" i="8"/>
  <c r="V76" i="8"/>
  <c r="X76" i="8" s="1"/>
  <c r="Y76" i="8" s="1"/>
  <c r="S76" i="8"/>
  <c r="S44" i="8"/>
  <c r="S58" i="8"/>
  <c r="S74" i="8"/>
  <c r="V95" i="8"/>
  <c r="X95" i="8" s="1"/>
  <c r="Y95" i="8" s="1"/>
  <c r="S95" i="8"/>
  <c r="S109" i="8"/>
  <c r="S123" i="8"/>
  <c r="O67" i="5"/>
  <c r="P67" i="5" s="1"/>
  <c r="O59" i="5"/>
  <c r="P59" i="5" s="1"/>
  <c r="O51" i="5"/>
  <c r="P51" i="5" s="1"/>
  <c r="O43" i="5"/>
  <c r="P43" i="5" s="1"/>
  <c r="S88" i="5"/>
  <c r="Y10" i="5"/>
  <c r="Z10" i="5" s="1"/>
  <c r="W126" i="5"/>
  <c r="W118" i="5"/>
  <c r="W110" i="5"/>
  <c r="W102" i="5"/>
  <c r="W94" i="5"/>
  <c r="W86" i="5"/>
  <c r="W75" i="5"/>
  <c r="W67" i="5"/>
  <c r="W59" i="5"/>
  <c r="W51" i="5"/>
  <c r="Y51" i="5" s="1"/>
  <c r="Z51" i="5" s="1"/>
  <c r="W43" i="5"/>
  <c r="W35" i="5"/>
  <c r="W26" i="5"/>
  <c r="Y26" i="5" s="1"/>
  <c r="Z26" i="5" s="1"/>
  <c r="W18" i="5"/>
  <c r="Y18" i="5" s="1"/>
  <c r="Z18" i="5" s="1"/>
  <c r="W10" i="5"/>
  <c r="O53" i="5"/>
  <c r="P53" i="5" s="1"/>
  <c r="S32" i="5"/>
  <c r="Y81" i="5"/>
  <c r="Z81" i="5" s="1"/>
  <c r="Y73" i="5"/>
  <c r="Z73" i="5" s="1"/>
  <c r="Y65" i="5"/>
  <c r="Z65" i="5" s="1"/>
  <c r="Y57" i="5"/>
  <c r="Z57" i="5" s="1"/>
  <c r="Y49" i="5"/>
  <c r="Z49" i="5" s="1"/>
  <c r="Y41" i="5"/>
  <c r="Z41" i="5" s="1"/>
  <c r="Y33" i="5"/>
  <c r="Z33" i="5" s="1"/>
  <c r="Y17" i="5"/>
  <c r="Z17" i="5" s="1"/>
  <c r="W125" i="5"/>
  <c r="Y125" i="5" s="1"/>
  <c r="Z125" i="5" s="1"/>
  <c r="W117" i="5"/>
  <c r="W109" i="5"/>
  <c r="W101" i="5"/>
  <c r="W93" i="5"/>
  <c r="W82" i="5"/>
  <c r="Y82" i="5" s="1"/>
  <c r="Z82" i="5" s="1"/>
  <c r="W74" i="5"/>
  <c r="Y74" i="5" s="1"/>
  <c r="Z74" i="5" s="1"/>
  <c r="W66" i="5"/>
  <c r="Y66" i="5" s="1"/>
  <c r="Z66" i="5" s="1"/>
  <c r="W58" i="5"/>
  <c r="Y58" i="5" s="1"/>
  <c r="Z58" i="5" s="1"/>
  <c r="W50" i="5"/>
  <c r="Y50" i="5" s="1"/>
  <c r="Z50" i="5" s="1"/>
  <c r="W42" i="5"/>
  <c r="Y42" i="5" s="1"/>
  <c r="Z42" i="5" s="1"/>
  <c r="W34" i="5"/>
  <c r="Y34" i="5" s="1"/>
  <c r="Z34" i="5" s="1"/>
  <c r="W25" i="5"/>
  <c r="Y25" i="5" s="1"/>
  <c r="Z25" i="5" s="1"/>
  <c r="W17" i="5"/>
  <c r="W9" i="5"/>
  <c r="Y9" i="5" s="1"/>
  <c r="Z9" i="5" s="1"/>
  <c r="O90" i="5"/>
  <c r="P90" i="5" s="1"/>
  <c r="O74" i="5"/>
  <c r="P74" i="5" s="1"/>
  <c r="O56" i="5"/>
  <c r="P56" i="5" s="1"/>
  <c r="Y23" i="5"/>
  <c r="Z23" i="5" s="1"/>
  <c r="Y15" i="5"/>
  <c r="Z15" i="5" s="1"/>
  <c r="Y7" i="5"/>
  <c r="Z7" i="5" s="1"/>
  <c r="W123" i="5"/>
  <c r="W115" i="5"/>
  <c r="W107" i="5"/>
  <c r="W99" i="5"/>
  <c r="W91" i="5"/>
  <c r="W80" i="5"/>
  <c r="Y80" i="5" s="1"/>
  <c r="Z80" i="5" s="1"/>
  <c r="W72" i="5"/>
  <c r="Y72" i="5" s="1"/>
  <c r="Z72" i="5" s="1"/>
  <c r="W64" i="5"/>
  <c r="Y64" i="5" s="1"/>
  <c r="Z64" i="5" s="1"/>
  <c r="W56" i="5"/>
  <c r="W48" i="5"/>
  <c r="Y48" i="5" s="1"/>
  <c r="Z48" i="5" s="1"/>
  <c r="W40" i="5"/>
  <c r="W23" i="5"/>
  <c r="W15" i="5"/>
  <c r="W7" i="5"/>
  <c r="Y56" i="5"/>
  <c r="Z56" i="5" s="1"/>
  <c r="O124" i="5"/>
  <c r="P124" i="5" s="1"/>
  <c r="O114" i="5"/>
  <c r="P114" i="5" s="1"/>
  <c r="O97" i="5"/>
  <c r="P97" i="5" s="1"/>
  <c r="O72" i="5"/>
  <c r="P72" i="5" s="1"/>
  <c r="O45" i="5"/>
  <c r="P45" i="5" s="1"/>
  <c r="Y78" i="5"/>
  <c r="Z78" i="5" s="1"/>
  <c r="Y62" i="5"/>
  <c r="Z62" i="5" s="1"/>
  <c r="Y30" i="5"/>
  <c r="Z30" i="5" s="1"/>
  <c r="W122" i="5"/>
  <c r="Y122" i="5" s="1"/>
  <c r="Z122" i="5" s="1"/>
  <c r="W114" i="5"/>
  <c r="Y114" i="5" s="1"/>
  <c r="Z114" i="5" s="1"/>
  <c r="W106" i="5"/>
  <c r="Y106" i="5" s="1"/>
  <c r="Z106" i="5" s="1"/>
  <c r="W98" i="5"/>
  <c r="Y98" i="5" s="1"/>
  <c r="Z98" i="5" s="1"/>
  <c r="W90" i="5"/>
  <c r="Y90" i="5" s="1"/>
  <c r="Z90" i="5" s="1"/>
  <c r="W79" i="5"/>
  <c r="Y79" i="5" s="1"/>
  <c r="Z79" i="5" s="1"/>
  <c r="W71" i="5"/>
  <c r="Y71" i="5" s="1"/>
  <c r="Z71" i="5" s="1"/>
  <c r="W63" i="5"/>
  <c r="Y63" i="5" s="1"/>
  <c r="Z63" i="5" s="1"/>
  <c r="W55" i="5"/>
  <c r="Y55" i="5" s="1"/>
  <c r="Z55" i="5" s="1"/>
  <c r="W47" i="5"/>
  <c r="W39" i="5"/>
  <c r="W31" i="5"/>
  <c r="Y31" i="5" s="1"/>
  <c r="Z31" i="5" s="1"/>
  <c r="W22" i="5"/>
  <c r="Y22" i="5" s="1"/>
  <c r="Z22" i="5" s="1"/>
  <c r="W14" i="5"/>
  <c r="Y14" i="5" s="1"/>
  <c r="Z14" i="5" s="1"/>
  <c r="W6" i="5"/>
  <c r="Y6" i="5" s="1"/>
  <c r="Z6" i="5" s="1"/>
  <c r="Y40" i="5"/>
  <c r="Z40" i="5" s="1"/>
  <c r="O118" i="5"/>
  <c r="P118" i="5" s="1"/>
  <c r="Y117" i="5"/>
  <c r="Z117" i="5" s="1"/>
  <c r="Y109" i="5"/>
  <c r="Z109" i="5" s="1"/>
  <c r="Y101" i="5"/>
  <c r="Z101" i="5" s="1"/>
  <c r="Y93" i="5"/>
  <c r="Z93" i="5" s="1"/>
  <c r="Y13" i="5"/>
  <c r="Z13" i="5" s="1"/>
  <c r="W121" i="5"/>
  <c r="Y121" i="5" s="1"/>
  <c r="Z121" i="5" s="1"/>
  <c r="W113" i="5"/>
  <c r="Y113" i="5" s="1"/>
  <c r="Z113" i="5" s="1"/>
  <c r="W105" i="5"/>
  <c r="Y105" i="5" s="1"/>
  <c r="Z105" i="5" s="1"/>
  <c r="W97" i="5"/>
  <c r="Y97" i="5" s="1"/>
  <c r="Z97" i="5" s="1"/>
  <c r="W89" i="5"/>
  <c r="Y89" i="5" s="1"/>
  <c r="Z89" i="5" s="1"/>
  <c r="W78" i="5"/>
  <c r="W70" i="5"/>
  <c r="Y70" i="5" s="1"/>
  <c r="Z70" i="5" s="1"/>
  <c r="W62" i="5"/>
  <c r="W54" i="5"/>
  <c r="Y54" i="5" s="1"/>
  <c r="Z54" i="5" s="1"/>
  <c r="W46" i="5"/>
  <c r="Y46" i="5" s="1"/>
  <c r="Z46" i="5" s="1"/>
  <c r="W38" i="5"/>
  <c r="Y38" i="5" s="1"/>
  <c r="Z38" i="5" s="1"/>
  <c r="W30" i="5"/>
  <c r="W21" i="5"/>
  <c r="Y21" i="5" s="1"/>
  <c r="Z21" i="5" s="1"/>
  <c r="W13" i="5"/>
  <c r="W5" i="5"/>
  <c r="Y5" i="5" s="1"/>
  <c r="Z5" i="5" s="1"/>
  <c r="Y124" i="5"/>
  <c r="Z124" i="5" s="1"/>
  <c r="Y116" i="5"/>
  <c r="Z116" i="5" s="1"/>
  <c r="Y108" i="5"/>
  <c r="Z108" i="5" s="1"/>
  <c r="Y100" i="5"/>
  <c r="Z100" i="5" s="1"/>
  <c r="Y92" i="5"/>
  <c r="Z92" i="5" s="1"/>
  <c r="Y4" i="5"/>
  <c r="Z4" i="5" s="1"/>
  <c r="W120" i="5"/>
  <c r="Y120" i="5" s="1"/>
  <c r="Z120" i="5" s="1"/>
  <c r="W112" i="5"/>
  <c r="W104" i="5"/>
  <c r="W96" i="5"/>
  <c r="Y96" i="5" s="1"/>
  <c r="Z96" i="5" s="1"/>
  <c r="W77" i="5"/>
  <c r="W69" i="5"/>
  <c r="W61" i="5"/>
  <c r="W53" i="5"/>
  <c r="W45" i="5"/>
  <c r="W37" i="5"/>
  <c r="W29" i="5"/>
  <c r="W12" i="5"/>
  <c r="Y12" i="5" s="1"/>
  <c r="Z12" i="5" s="1"/>
  <c r="W4" i="5"/>
  <c r="Y32" i="5"/>
  <c r="Z32" i="5" s="1"/>
  <c r="Y123" i="5"/>
  <c r="Z123" i="5" s="1"/>
  <c r="Y115" i="5"/>
  <c r="Z115" i="5" s="1"/>
  <c r="Y107" i="5"/>
  <c r="Z107" i="5" s="1"/>
  <c r="Y99" i="5"/>
  <c r="Z99" i="5" s="1"/>
  <c r="Y91" i="5"/>
  <c r="Z91" i="5" s="1"/>
  <c r="Y75" i="5"/>
  <c r="Z75" i="5" s="1"/>
  <c r="Y67" i="5"/>
  <c r="Z67" i="5" s="1"/>
  <c r="Y59" i="5"/>
  <c r="Z59" i="5" s="1"/>
  <c r="Y43" i="5"/>
  <c r="Z43" i="5" s="1"/>
  <c r="Y35" i="5"/>
  <c r="Z35" i="5" s="1"/>
  <c r="Y19" i="5"/>
  <c r="Z19" i="5" s="1"/>
  <c r="W119" i="5"/>
  <c r="Y119" i="5" s="1"/>
  <c r="Z119" i="5" s="1"/>
  <c r="W111" i="5"/>
  <c r="W103" i="5"/>
  <c r="Y103" i="5" s="1"/>
  <c r="Z103" i="5" s="1"/>
  <c r="W95" i="5"/>
  <c r="Y95" i="5" s="1"/>
  <c r="Z95" i="5" s="1"/>
  <c r="W87" i="5"/>
  <c r="W76" i="5"/>
  <c r="W68" i="5"/>
  <c r="Y68" i="5" s="1"/>
  <c r="Z68" i="5" s="1"/>
  <c r="W60" i="5"/>
  <c r="W52" i="5"/>
  <c r="Y52" i="5" s="1"/>
  <c r="Z52" i="5" s="1"/>
  <c r="W44" i="5"/>
  <c r="W36" i="5"/>
  <c r="Y36" i="5" s="1"/>
  <c r="Z36" i="5" s="1"/>
  <c r="W27" i="5"/>
  <c r="Y27" i="5" s="1"/>
  <c r="Z27" i="5" s="1"/>
  <c r="W19" i="5"/>
  <c r="W11" i="5"/>
  <c r="Y11" i="5" s="1"/>
  <c r="Z11" i="5" s="1"/>
  <c r="W3" i="5"/>
  <c r="Y3" i="5" s="1"/>
  <c r="Z3" i="5" s="1"/>
  <c r="Y112" i="5"/>
  <c r="Z112" i="5" s="1"/>
  <c r="Y104" i="5"/>
  <c r="Z104" i="5" s="1"/>
  <c r="Y88" i="5"/>
  <c r="Z88" i="5" s="1"/>
  <c r="Y111" i="5"/>
  <c r="Z111" i="5" s="1"/>
  <c r="Y87" i="5"/>
  <c r="Z87" i="5" s="1"/>
  <c r="Y47" i="5"/>
  <c r="Z47" i="5" s="1"/>
  <c r="Y39" i="5"/>
  <c r="Z39" i="5" s="1"/>
  <c r="Y126" i="5"/>
  <c r="Z126" i="5" s="1"/>
  <c r="Y118" i="5"/>
  <c r="Z118" i="5" s="1"/>
  <c r="Y110" i="5"/>
  <c r="Z110" i="5" s="1"/>
  <c r="Y102" i="5"/>
  <c r="Z102" i="5" s="1"/>
  <c r="Y94" i="5"/>
  <c r="Z94" i="5" s="1"/>
  <c r="Y86" i="5"/>
  <c r="Z86" i="5" s="1"/>
  <c r="Y77" i="5"/>
  <c r="Z77" i="5" s="1"/>
  <c r="Y69" i="5"/>
  <c r="Z69" i="5" s="1"/>
  <c r="Y61" i="5"/>
  <c r="Z61" i="5" s="1"/>
  <c r="Y53" i="5"/>
  <c r="Z53" i="5" s="1"/>
  <c r="Y45" i="5"/>
  <c r="Z45" i="5" s="1"/>
  <c r="Y37" i="5"/>
  <c r="Z37" i="5" s="1"/>
  <c r="Y29" i="5"/>
  <c r="Z29" i="5" s="1"/>
  <c r="Y76" i="5"/>
  <c r="Z76" i="5" s="1"/>
  <c r="Y60" i="5"/>
  <c r="Z60" i="5" s="1"/>
  <c r="Y44" i="5"/>
  <c r="Z44" i="5" s="1"/>
  <c r="D16" i="7"/>
  <c r="D23" i="7"/>
  <c r="D14" i="7"/>
  <c r="D19" i="7"/>
  <c r="D22" i="7"/>
  <c r="D12" i="7"/>
  <c r="D17" i="7"/>
  <c r="D24" i="7"/>
  <c r="D21" i="7"/>
  <c r="D10" i="7"/>
  <c r="D18" i="7"/>
  <c r="D25" i="7"/>
  <c r="D20" i="7"/>
  <c r="D8" i="7"/>
  <c r="O92" i="5"/>
  <c r="P92" i="5" s="1"/>
  <c r="O94" i="5"/>
  <c r="P94" i="5" s="1"/>
  <c r="O58" i="5"/>
  <c r="P58" i="5" s="1"/>
  <c r="O42" i="5"/>
  <c r="P42" i="5" s="1"/>
  <c r="O120" i="5"/>
  <c r="P120" i="5" s="1"/>
  <c r="O106" i="5"/>
  <c r="P106" i="5" s="1"/>
  <c r="O104" i="5"/>
  <c r="P104" i="5" s="1"/>
  <c r="O89" i="5"/>
  <c r="P89" i="5" s="1"/>
  <c r="O81" i="5"/>
  <c r="P81" i="5" s="1"/>
  <c r="O78" i="5"/>
  <c r="P78" i="5" s="1"/>
  <c r="O55" i="5"/>
  <c r="P55" i="5" s="1"/>
  <c r="O71" i="5"/>
  <c r="P71" i="5" s="1"/>
  <c r="O68" i="5"/>
  <c r="P68" i="5" s="1"/>
  <c r="O65" i="5"/>
  <c r="P65" i="5" s="1"/>
  <c r="O52" i="5"/>
  <c r="P52" i="5" s="1"/>
  <c r="O49" i="5"/>
  <c r="P49" i="5" s="1"/>
  <c r="O44" i="5"/>
  <c r="P44" i="5" s="1"/>
  <c r="O109" i="5"/>
  <c r="P109" i="5" s="1"/>
  <c r="O91" i="5"/>
  <c r="P91" i="5" s="1"/>
  <c r="O83" i="5"/>
  <c r="P83" i="5" s="1"/>
  <c r="O75" i="5"/>
  <c r="P75" i="5" s="1"/>
  <c r="O63" i="5"/>
  <c r="P63" i="5" s="1"/>
  <c r="O57" i="5"/>
  <c r="P57" i="5" s="1"/>
  <c r="O64" i="5"/>
  <c r="P64" i="5" s="1"/>
  <c r="O113" i="5"/>
  <c r="P113" i="5" s="1"/>
  <c r="O96" i="5"/>
  <c r="P96" i="5" s="1"/>
  <c r="O122" i="5"/>
  <c r="P122" i="5" s="1"/>
  <c r="O99" i="5"/>
  <c r="P99" i="5" s="1"/>
  <c r="O119" i="5"/>
  <c r="P119" i="5" s="1"/>
  <c r="O110" i="5"/>
  <c r="P110" i="5" s="1"/>
  <c r="O73" i="5"/>
  <c r="P73" i="5" s="1"/>
  <c r="O46" i="5"/>
  <c r="P46" i="5" s="1"/>
  <c r="O86" i="5"/>
  <c r="P86" i="5" s="1"/>
  <c r="O117" i="5"/>
  <c r="P117" i="5" s="1"/>
  <c r="O121" i="5"/>
  <c r="P121" i="5" s="1"/>
  <c r="O116" i="5"/>
  <c r="P116" i="5" s="1"/>
  <c r="O108" i="5"/>
  <c r="P108" i="5" s="1"/>
  <c r="O102" i="5"/>
  <c r="P102" i="5" s="1"/>
  <c r="O93" i="5"/>
  <c r="P93" i="5" s="1"/>
  <c r="O87" i="5"/>
  <c r="P87" i="5" s="1"/>
  <c r="O85" i="5"/>
  <c r="P85" i="5" s="1"/>
  <c r="O79" i="5"/>
  <c r="P79" i="5" s="1"/>
  <c r="O77" i="5"/>
  <c r="P77" i="5" s="1"/>
  <c r="O70" i="5"/>
  <c r="P70" i="5" s="1"/>
  <c r="O62" i="5"/>
  <c r="P62" i="5" s="1"/>
  <c r="O54" i="5"/>
  <c r="P54" i="5" s="1"/>
  <c r="O48" i="5"/>
  <c r="P48" i="5" s="1"/>
  <c r="O47" i="5"/>
  <c r="P47" i="5" s="1"/>
  <c r="O105" i="5"/>
  <c r="P105" i="5" s="1"/>
  <c r="O84" i="5"/>
  <c r="P84" i="5" s="1"/>
  <c r="O111" i="5"/>
  <c r="P111" i="5" s="1"/>
  <c r="O61" i="5"/>
  <c r="P61" i="5" s="1"/>
  <c r="O126" i="5"/>
  <c r="P126" i="5" s="1"/>
  <c r="O82" i="5"/>
  <c r="P82" i="5" s="1"/>
  <c r="O25" i="5"/>
  <c r="P25" i="5" s="1"/>
  <c r="O18" i="5"/>
  <c r="P18" i="5" s="1"/>
  <c r="O20" i="5"/>
  <c r="P20" i="5" s="1"/>
  <c r="O7" i="5"/>
  <c r="P7" i="5" s="1"/>
  <c r="O24" i="5"/>
  <c r="P24" i="5" s="1"/>
  <c r="O31" i="5"/>
  <c r="P31" i="5" s="1"/>
  <c r="O16" i="5"/>
  <c r="P16" i="5" s="1"/>
  <c r="O6" i="5"/>
  <c r="P6" i="5" s="1"/>
  <c r="O34" i="5"/>
  <c r="P34" i="5" s="1"/>
  <c r="O15" i="5"/>
  <c r="P15" i="5" s="1"/>
  <c r="O27" i="5"/>
  <c r="P27" i="5" s="1"/>
  <c r="O19" i="5"/>
  <c r="P19" i="5" s="1"/>
  <c r="O40" i="5"/>
  <c r="P40" i="5" s="1"/>
  <c r="O33" i="5"/>
  <c r="P33" i="5" s="1"/>
  <c r="O9" i="5"/>
  <c r="P9" i="5" s="1"/>
  <c r="O32" i="5"/>
  <c r="P32" i="5" s="1"/>
  <c r="O13" i="5"/>
  <c r="P13" i="5" s="1"/>
  <c r="O5" i="5"/>
  <c r="P5" i="5" s="1"/>
  <c r="O4" i="5"/>
  <c r="P4" i="5" s="1"/>
  <c r="O30" i="5"/>
  <c r="P30" i="5" s="1"/>
  <c r="O23" i="5"/>
  <c r="P23" i="5" s="1"/>
  <c r="O14" i="5"/>
  <c r="P14" i="5" s="1"/>
  <c r="O41" i="5"/>
  <c r="P41" i="5" s="1"/>
  <c r="O38" i="5"/>
  <c r="P38" i="5" s="1"/>
  <c r="O35" i="5"/>
  <c r="P35" i="5" s="1"/>
  <c r="O28" i="5"/>
  <c r="P28" i="5" s="1"/>
  <c r="O22" i="5"/>
  <c r="P22" i="5" s="1"/>
  <c r="O21" i="5"/>
  <c r="P21" i="5" s="1"/>
  <c r="O29" i="5"/>
  <c r="P29" i="5" s="1"/>
  <c r="O3" i="5"/>
  <c r="P3" i="5" s="1"/>
  <c r="O39" i="5"/>
  <c r="P39" i="5" s="1"/>
  <c r="O37" i="5"/>
  <c r="P37" i="5" s="1"/>
  <c r="O12" i="5"/>
  <c r="P12" i="5" s="1"/>
  <c r="O36" i="5"/>
  <c r="P36" i="5" s="1"/>
  <c r="G2" i="5"/>
  <c r="L2" i="5"/>
  <c r="AF6" i="8" l="1"/>
  <c r="AG4" i="8"/>
  <c r="AG6" i="8"/>
  <c r="AE6" i="8"/>
  <c r="AF4" i="8"/>
  <c r="AE5" i="8"/>
  <c r="AE4" i="8"/>
  <c r="AF5" i="8"/>
  <c r="AG5" i="8"/>
  <c r="AH6" i="5"/>
  <c r="AH5" i="5"/>
  <c r="AH4" i="5"/>
  <c r="AG4" i="5"/>
  <c r="AG6" i="5"/>
  <c r="AF6" i="5"/>
  <c r="AF5" i="5"/>
  <c r="AG5" i="5"/>
  <c r="AF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E5E5D4-D582-4F46-8F45-93554866B71A}" keepAlive="1" name="Query - b2b" description="Connection to the 'b2b' query in the workbook." type="5" refreshedVersion="8" background="1" saveData="1">
    <dbPr connection="Provider=Microsoft.Mashup.OleDb.1;Data Source=$Workbook$;Location=b2b;Extended Properties=&quot;&quot;" command="SELECT * FROM [b2b]"/>
  </connection>
  <connection id="2" xr16:uid="{E1697630-B99F-4C2D-AE7C-3A916F88B74B}" keepAlive="1" name="Query - Courier Company - Rates" description="Connection to the 'Courier Company - Rates' query in the workbook." type="5" refreshedVersion="8" background="1" saveData="1">
    <dbPr connection="Provider=Microsoft.Mashup.OleDb.1;Data Source=$Workbook$;Location=&quot;Courier Company - Rates&quot;;Extended Properties=&quot;&quot;" command="SELECT * FROM [Courier Company - Rates]"/>
  </connection>
  <connection id="3" xr16:uid="{3FCA35F3-E6B2-44A5-9AB5-BBFF0B610065}" keepAlive="1" name="Query - Invoice" description="Connection to the 'Invoice' query in the workbook." type="5" refreshedVersion="8" background="1" saveData="1">
    <dbPr connection="Provider=Microsoft.Mashup.OleDb.1;Data Source=$Workbook$;Location=Invoice;Extended Properties=&quot;&quot;" command="SELECT * FROM [Invoice]"/>
  </connection>
  <connection id="4" xr16:uid="{2D9FABF4-82FA-45C3-9CE9-842E6E3C9900}" keepAlive="1" name="Query - Order Report" description="Connection to the 'Order Report' query in the workbook." type="5" refreshedVersion="8" background="1" saveData="1">
    <dbPr connection="Provider=Microsoft.Mashup.OleDb.1;Data Source=$Workbook$;Location=&quot;Order Report&quot;;Extended Properties=&quot;&quot;" command="SELECT * FROM [Order Report]"/>
  </connection>
  <connection id="5" xr16:uid="{23FFA291-A854-4CDD-9072-1DE2487D3BC5}" keepAlive="1" name="Query - Order Report (2)" description="Connection to the 'Order Report (2)' query in the workbook." type="5" refreshedVersion="8" background="1" saveData="1">
    <dbPr connection="Provider=Microsoft.Mashup.OleDb.1;Data Source=$Workbook$;Location=&quot;Order Report (2)&quot;;Extended Properties=&quot;&quot;" command="SELECT * FROM [Order Report (2)]"/>
  </connection>
  <connection id="6" xr16:uid="{4E89FF66-E729-4A71-9BAE-BFE379CB17F6}" keepAlive="1" name="Query - pincodes" description="Connection to the 'pincodes' query in the workbook." type="5" refreshedVersion="8" background="1" saveData="1">
    <dbPr connection="Provider=Microsoft.Mashup.OleDb.1;Data Source=$Workbook$;Location=pincodes;Extended Properties=&quot;&quot;" command="SELECT * FROM [pincodes]"/>
  </connection>
  <connection id="7" xr16:uid="{662C1FAB-28AF-41D1-9831-A083AC908649}" keepAlive="1" name="Query - SKU Master" description="Connection to the 'SKU Master' query in the workbook." type="5" refreshedVersion="8" background="1" saveData="1">
    <dbPr connection="Provider=Microsoft.Mashup.OleDb.1;Data Source=$Workbook$;Location=&quot;SKU Master&quot;;Extended Properties=&quot;&quot;" command="SELECT * FROM [SKU Mast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<sst xmlns="http://schemas.openxmlformats.org/spreadsheetml/2006/main" count="1736" uniqueCount="136">
  <si>
    <t>SKU</t>
  </si>
  <si>
    <t>Weight (g)</t>
  </si>
  <si>
    <t>Column1</t>
  </si>
  <si>
    <t>_1</t>
  </si>
  <si>
    <t>_2</t>
  </si>
  <si>
    <t>8904223815682</t>
  </si>
  <si>
    <t/>
  </si>
  <si>
    <t>8904223815859</t>
  </si>
  <si>
    <t>8904223815866</t>
  </si>
  <si>
    <t>8904223815873</t>
  </si>
  <si>
    <t>8904223816214</t>
  </si>
  <si>
    <t>8904223816665</t>
  </si>
  <si>
    <t>8904223817273</t>
  </si>
  <si>
    <t>8904223817334</t>
  </si>
  <si>
    <t>8904223817501</t>
  </si>
  <si>
    <t>8904223818430</t>
  </si>
  <si>
    <t>8904223818478</t>
  </si>
  <si>
    <t>8904223818553</t>
  </si>
  <si>
    <t>8904223818577</t>
  </si>
  <si>
    <t>8904223818591</t>
  </si>
  <si>
    <t>8904223818614</t>
  </si>
  <si>
    <t>8904223818638</t>
  </si>
  <si>
    <t>8904223818645</t>
  </si>
  <si>
    <t>8904223818669</t>
  </si>
  <si>
    <t>8904223818683</t>
  </si>
  <si>
    <t>8904223818706</t>
  </si>
  <si>
    <t>8904223818713</t>
  </si>
  <si>
    <t>8904223815804</t>
  </si>
  <si>
    <t>8904223818454</t>
  </si>
  <si>
    <t>8904223818751</t>
  </si>
  <si>
    <t>8904223818850</t>
  </si>
  <si>
    <t>8904223818935</t>
  </si>
  <si>
    <t>8904223818874</t>
  </si>
  <si>
    <t>8904223818997</t>
  </si>
  <si>
    <t>8904223818942</t>
  </si>
  <si>
    <t>8904223819024</t>
  </si>
  <si>
    <t>8904223819031</t>
  </si>
  <si>
    <t>8904223818980</t>
  </si>
  <si>
    <t>8904223819017</t>
  </si>
  <si>
    <t>8904223819093</t>
  </si>
  <si>
    <t>8904223819109</t>
  </si>
  <si>
    <t>8904223819116</t>
  </si>
  <si>
    <t>8904223819161</t>
  </si>
  <si>
    <t>8904223819147</t>
  </si>
  <si>
    <t>8904223819130</t>
  </si>
  <si>
    <t>8904223818881</t>
  </si>
  <si>
    <t>8904223818898</t>
  </si>
  <si>
    <t>8904223819277</t>
  </si>
  <si>
    <t>8904223819284</t>
  </si>
  <si>
    <t>8904223819345</t>
  </si>
  <si>
    <t>8904223819352</t>
  </si>
  <si>
    <t>8904223819239</t>
  </si>
  <si>
    <t>8904223819246</t>
  </si>
  <si>
    <t>8904223819253</t>
  </si>
  <si>
    <t>8904223819291</t>
  </si>
  <si>
    <t>8904223819437</t>
  </si>
  <si>
    <t>GIFTBOX202001</t>
  </si>
  <si>
    <t>GIFTBOX202004</t>
  </si>
  <si>
    <t>GIFTBOX202002</t>
  </si>
  <si>
    <t>8904223819369</t>
  </si>
  <si>
    <t>GIFTBOX202003</t>
  </si>
  <si>
    <t>8904223819123</t>
  </si>
  <si>
    <t>8904223819468</t>
  </si>
  <si>
    <t>8904223819260</t>
  </si>
  <si>
    <t>8904223819321</t>
  </si>
  <si>
    <t>8904223819338</t>
  </si>
  <si>
    <t>8904223819505</t>
  </si>
  <si>
    <t>8904223819499</t>
  </si>
  <si>
    <t>8904223819512</t>
  </si>
  <si>
    <t>8904223819543</t>
  </si>
  <si>
    <t>SACHETS001</t>
  </si>
  <si>
    <t>Warehouse Pincode</t>
  </si>
  <si>
    <t>Customer Pincode</t>
  </si>
  <si>
    <t>Zone</t>
  </si>
  <si>
    <t>d</t>
  </si>
  <si>
    <t>b</t>
  </si>
  <si>
    <t>e</t>
  </si>
  <si>
    <t>ExternOrderNo</t>
  </si>
  <si>
    <t>Order Qty</t>
  </si>
  <si>
    <t>AWB Code</t>
  </si>
  <si>
    <t>Order ID</t>
  </si>
  <si>
    <t>Charged Weight</t>
  </si>
  <si>
    <t>Type of Shipment</t>
  </si>
  <si>
    <t>Billing Amount (Rs.)</t>
  </si>
  <si>
    <t>Forward charges</t>
  </si>
  <si>
    <t>Forward and RTO charges</t>
  </si>
  <si>
    <t>fwd_a_fixed</t>
  </si>
  <si>
    <t>fwd_a_additional</t>
  </si>
  <si>
    <t>fwd_b_fixed</t>
  </si>
  <si>
    <t>fwd_b_additional</t>
  </si>
  <si>
    <t>fwd_c_fixed</t>
  </si>
  <si>
    <t>fwd_c_additional</t>
  </si>
  <si>
    <t>fwd_d_fixed</t>
  </si>
  <si>
    <t>fwd_d_additional</t>
  </si>
  <si>
    <t>fwd_e_fixed</t>
  </si>
  <si>
    <t>fwd_e_additional</t>
  </si>
  <si>
    <t>rto_a_fixed</t>
  </si>
  <si>
    <t>rto_a_additional</t>
  </si>
  <si>
    <t>rto_b_fixed</t>
  </si>
  <si>
    <t>rto_b_additional</t>
  </si>
  <si>
    <t>rto_c_fixed</t>
  </si>
  <si>
    <t>rto_c_additional</t>
  </si>
  <si>
    <t>rto_d_fixed</t>
  </si>
  <si>
    <t>rto_d_additional</t>
  </si>
  <si>
    <t>rto_e_fixed</t>
  </si>
  <si>
    <t>rto_e_additional</t>
  </si>
  <si>
    <t xml:space="preserve">order weight </t>
  </si>
  <si>
    <t xml:space="preserve">_total weight </t>
  </si>
  <si>
    <t>Ext Order No</t>
  </si>
  <si>
    <t xml:space="preserve">Total weight </t>
  </si>
  <si>
    <t xml:space="preserve">Rounded Weight </t>
  </si>
  <si>
    <t xml:space="preserve"> ABC Zone</t>
  </si>
  <si>
    <t>Courier Zone</t>
  </si>
  <si>
    <t>Matching status</t>
  </si>
  <si>
    <t>Customer area (courier)</t>
  </si>
  <si>
    <t xml:space="preserve">ABC area </t>
  </si>
  <si>
    <t xml:space="preserve">Shipment Type </t>
  </si>
  <si>
    <t xml:space="preserve">Courirer Price </t>
  </si>
  <si>
    <t>Expected Price</t>
  </si>
  <si>
    <t>fwd</t>
  </si>
  <si>
    <t>rto</t>
  </si>
  <si>
    <t>Shipment short_1</t>
  </si>
  <si>
    <t>Shipment short _2</t>
  </si>
  <si>
    <t>region</t>
  </si>
  <si>
    <t>rate</t>
  </si>
  <si>
    <t>shipment_type_1</t>
  </si>
  <si>
    <t>AWB Number</t>
  </si>
  <si>
    <t>%change</t>
  </si>
  <si>
    <t>DESCRIPTION</t>
  </si>
  <si>
    <t>COUNT</t>
  </si>
  <si>
    <t xml:space="preserve">Total orders where ABC has been correctly charged </t>
  </si>
  <si>
    <t xml:space="preserve">Total orders where ABC has been over-charged </t>
  </si>
  <si>
    <t xml:space="preserve">Total orders where ABC has been under-charged </t>
  </si>
  <si>
    <t>Overall Status</t>
  </si>
  <si>
    <t>AMOUNT(Rs)(expected amount)</t>
  </si>
  <si>
    <t>AMOUNT(Rs)(Actually Charged)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</si>
</sst>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3" borderId="0" xfId="1"/>
    <xf numFmtId="0" fontId="1" fillId="3" borderId="0" xfId="1" applyNumberFormat="1"/>
  </cellXfs>
  <cellStyles count="2">
    <cellStyle name="60% - Accent6" xfId="1" builtinId="52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left style="thin">
          <color rgb="FFA9D08E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left style="thin">
          <color theme="9" tint="0.39997558519241921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26167F4-17FB-41A8-B59F-6AC1DCF80D7D}" autoFormatId="16" applyNumberFormats="0" applyBorderFormats="0" applyFontFormats="0" applyPatternFormats="0" applyAlignmentFormats="0" applyWidthHeightFormats="0">
  <queryTableRefresh nextId="6">
    <queryTableFields count="5">
      <queryTableField id="1" name="ExternOrderNo" tableColumnId="1"/>
      <queryTableField id="2" name="SKU" tableColumnId="2"/>
      <queryTableField id="3" name="Order Qty" tableColumnId="3"/>
      <queryTableField id="4" name="Column1" tableColumnId="4"/>
      <queryTableField id="5" name="_1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10A0A05-9F66-45E4-A4A4-ED79269C9982}" autoFormatId="16" applyNumberFormats="0" applyBorderFormats="0" applyFontFormats="0" applyPatternFormats="0" applyAlignmentFormats="0" applyWidthHeightFormats="0">
  <queryTableRefresh nextId="6">
    <queryTableFields count="5">
      <queryTableField id="1" name="SKU" tableColumnId="1"/>
      <queryTableField id="2" name="Weight (g)" tableColumnId="2"/>
      <queryTableField id="3" name="Column1" tableColumnId="3"/>
      <queryTableField id="4" name="_1" tableColumnId="4"/>
      <queryTableField id="5" name="_2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829630F-8160-4F34-9562-F64A1DC6929D}" autoFormatId="16" applyNumberFormats="0" applyBorderFormats="0" applyFontFormats="0" applyPatternFormats="0" applyAlignmentFormats="0" applyWidthHeightFormats="0">
  <queryTableRefresh nextId="6">
    <queryTableFields count="5">
      <queryTableField id="1" name="Warehouse Pincode" tableColumnId="1"/>
      <queryTableField id="2" name="Customer Pincode" tableColumnId="2"/>
      <queryTableField id="3" name="Zone" tableColumnId="3"/>
      <queryTableField id="4" name="Column1" tableColumnId="4"/>
      <queryTableField id="5" name="_1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5867F8B-AC67-4B4C-9416-38A1F8D8F4D0}" autoFormatId="16" applyNumberFormats="0" applyBorderFormats="0" applyFontFormats="0" applyPatternFormats="0" applyAlignmentFormats="0" applyWidthHeightFormats="0">
  <queryTableRefresh nextId="6">
    <queryTableFields count="5">
      <queryTableField id="1" name="ExternOrderNo" tableColumnId="1"/>
      <queryTableField id="2" name="SKU" tableColumnId="2"/>
      <queryTableField id="3" name="Order Qty" tableColumnId="3"/>
      <queryTableField id="4" name="Column1" tableColumnId="4"/>
      <queryTableField id="5" name="_1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FD146B3-773E-4E4A-808C-ED888949384D}" autoFormatId="16" applyNumberFormats="0" applyBorderFormats="0" applyFontFormats="0" applyPatternFormats="0" applyAlignmentFormats="0" applyWidthHeightFormats="0">
  <queryTableRefresh nextId="9">
    <queryTableFields count="8">
      <queryTableField id="1" name="AWB Code" tableColumnId="1"/>
      <queryTableField id="2" name="Order ID" tableColumnId="2"/>
      <queryTableField id="3" name="Charged Weight" tableColumnId="3"/>
      <queryTableField id="4" name="Warehouse Pincode" tableColumnId="4"/>
      <queryTableField id="5" name="Customer Pincode" tableColumnId="5"/>
      <queryTableField id="6" name="Zone" tableColumnId="6"/>
      <queryTableField id="7" name="Type of Shipment" tableColumnId="7"/>
      <queryTableField id="8" name="Billing Amount (Rs.)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FE216EA-A2AF-4F89-BF0A-623A9905D483}" autoFormatId="16" applyNumberFormats="0" applyBorderFormats="0" applyFontFormats="0" applyPatternFormats="0" applyAlignmentFormats="0" applyWidthHeightFormats="0">
  <queryTableRefresh nextId="21">
    <queryTableFields count="20">
      <queryTableField id="1" name="fwd_a_fixed" tableColumnId="1"/>
      <queryTableField id="2" name="fwd_a_additional" tableColumnId="2"/>
      <queryTableField id="3" name="fwd_b_fixed" tableColumnId="3"/>
      <queryTableField id="4" name="fwd_b_additional" tableColumnId="4"/>
      <queryTableField id="5" name="fwd_c_fixed" tableColumnId="5"/>
      <queryTableField id="6" name="fwd_c_additional" tableColumnId="6"/>
      <queryTableField id="7" name="fwd_d_fixed" tableColumnId="7"/>
      <queryTableField id="8" name="fwd_d_additional" tableColumnId="8"/>
      <queryTableField id="9" name="fwd_e_fixed" tableColumnId="9"/>
      <queryTableField id="10" name="fwd_e_additional" tableColumnId="10"/>
      <queryTableField id="11" name="rto_a_fixed" tableColumnId="11"/>
      <queryTableField id="12" name="rto_a_additional" tableColumnId="12"/>
      <queryTableField id="13" name="rto_b_fixed" tableColumnId="13"/>
      <queryTableField id="14" name="rto_b_additional" tableColumnId="14"/>
      <queryTableField id="15" name="rto_c_fixed" tableColumnId="15"/>
      <queryTableField id="16" name="rto_c_additional" tableColumnId="16"/>
      <queryTableField id="17" name="rto_d_fixed" tableColumnId="17"/>
      <queryTableField id="18" name="rto_d_additional" tableColumnId="18"/>
      <queryTableField id="19" name="rto_e_fixed" tableColumnId="19"/>
      <queryTableField id="20" name="rto_e_additional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06EAB9A-9D73-47AA-BF69-C46630CE7CA0}" name="Order_Report10" displayName="Order_Report10" ref="A1:E399" tableType="queryTable" totalsRowShown="0">
  <autoFilter ref="A1:E399" xr:uid="{8388EF87-93BB-4397-874F-D56DA1BF9E2E}"/>
  <tableColumns count="5">
    <tableColumn id="1" xr3:uid="{64FF35E5-A9A6-48F7-B588-6D5E690D4ED6}" uniqueName="1" name="ExternOrderNo" queryTableFieldId="1"/>
    <tableColumn id="2" xr3:uid="{F0BC2C35-4AD1-4433-A40A-07E125ED9AB8}" uniqueName="2" name="SKU" queryTableFieldId="2" dataDxfId="16"/>
    <tableColumn id="3" xr3:uid="{732396D3-AE4A-4068-99E8-0B34C0A95011}" uniqueName="3" name="Order Qty" queryTableFieldId="3"/>
    <tableColumn id="4" xr3:uid="{CD4928D5-9017-4EE2-9F8B-B3682CFE948D}" uniqueName="4" name="order weight " queryTableFieldId="4" dataDxfId="15"/>
    <tableColumn id="5" xr3:uid="{FB0682F9-0314-4D60-A6C0-FD7BC68EAEC3}" uniqueName="5" name="_total weight " queryTableFieldId="5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F1D581-448B-4D4C-9687-46030903673A}" name="Table811" displayName="Table811" ref="N2:Y126" totalsRowShown="0" tableBorderDxfId="13" headerRowCellStyle="60% - Accent6" dataCellStyle="60% - Accent6">
  <autoFilter ref="N2:Y126" xr:uid="{7ECB4755-BC32-4D45-B241-8343B0ACA11C}"/>
  <tableColumns count="12">
    <tableColumn id="1" xr3:uid="{9CD0809F-7D5F-450D-B57E-317BDA3EA6EA}" name="Ext Order No" dataDxfId="12"/>
    <tableColumn id="2" xr3:uid="{DAFB52C0-1767-4F45-8D7F-B08B38F26F44}" name="Total weight ">
      <calculatedColumnFormula>SUMIFS(Order_Report10[_total weight ],Order_Report10[ExternOrderNo],$N3)</calculatedColumnFormula>
    </tableColumn>
    <tableColumn id="3" xr3:uid="{765B4027-8279-4EFC-9928-282CFC243949}" name="Rounded Weight " dataDxfId="11">
      <calculatedColumnFormula>CEILING(Table811[[#This Row],[Total weight ]],0.5)</calculatedColumnFormula>
    </tableColumn>
    <tableColumn id="4" xr3:uid="{781C7BD4-9801-4A23-A4C0-6E299F28D6D3}" name="Customer area (courier)" dataDxfId="10">
      <calculatedColumnFormula>_xlfn.XLOOKUP(Table811[[#This Row],[Ext Order No]],Invoice[Order ID],Invoice[Zone])</calculatedColumnFormula>
    </tableColumn>
    <tableColumn id="5" xr3:uid="{A38EA7C0-23B9-4E3A-ABDE-E66FF5A47FCF}" name="ABC area " dataDxfId="9">
      <calculatedColumnFormula>IF(pincodes[[#Headers],[Matching status]]="matched",'(abc)pincodes'!C2,'(abc)pincodes'!C2)</calculatedColumnFormula>
    </tableColumn>
    <tableColumn id="6" xr3:uid="{5AFD902F-E682-40D5-B921-6D6DF1B219E2}" name="Shipment Type " dataDxfId="8">
      <calculatedColumnFormula>_xlfn.XLOOKUP(Table811[[#This Row],[ABC area ]],Invoice[Zone],Invoice[Type of Shipment])</calculatedColumnFormula>
    </tableColumn>
    <tableColumn id="9" xr3:uid="{EC287406-1477-4AA7-BB97-9A48B3884C8F}" name="Shipment short_1"/>
    <tableColumn id="7" xr3:uid="{A2BDCB21-8711-4F85-B81D-790728C3E141}" name="Courirer Price " dataDxfId="7">
      <calculatedColumnFormula>_xlfn.XLOOKUP(Table811[[#This Row],[Ext Order No]],Invoice[Order ID],Invoice[Billing Amount (Rs.)],"not found")</calculatedColumnFormula>
    </tableColumn>
    <tableColumn id="8" xr3:uid="{BE5C5298-E351-4641-A3BC-49DCCBB994CD}" name="Expected Price" dataDxfId="6">
      <calculatedColumnFormula>IF(AND(Table811[[#This Row],[Shipment short_1]]="fwd",Table811[[#This Row],[ABC area ]]="d"),'Courier Company - Rates'!G$8,IF(AND(Table811[[#This Row],[Shipment short_1]]="fwd",Table811[[#This Row],[ABC area ]]="b"),'Courier Company - Rates'!G$7))</calculatedColumnFormula>
    </tableColumn>
    <tableColumn id="11" xr3:uid="{6CE33CC2-472F-42F0-A9D1-1DB37BA69264}" name="AWB Number" dataDxfId="5">
      <calculatedColumnFormula>_xlfn.XLOOKUP(Table811[[#This Row],[Ext Order No]],Invoice[Order ID],Invoice[AWB Code])</calculatedColumnFormula>
    </tableColumn>
    <tableColumn id="12" xr3:uid="{445E7554-2FFC-4267-800C-9E67BE8F3551}" name="%change" dataDxfId="4" dataCellStyle="60% - Accent6">
      <calculatedColumnFormula>((Table811[[#This Row],[Courirer Price ]]-Table811[[#This Row],[Expected Price]])/Table811[[#This Row],[Expected Price]])*100</calculatedColumnFormula>
    </tableColumn>
    <tableColumn id="14" xr3:uid="{C54ABE81-5C62-4C25-A469-7F763F5D7E9C}" name="Overall Status" dataDxfId="3" dataCellStyle="60% - Accent6">
      <calculatedColumnFormula>IF(Table811[[#This Row],[%change]]&gt;0,"Over Charged",IF(Table811[[#This Row],[%change]]=0,"Perfectly Charged",IF(Table811[[#This Row],[%change]]&lt;0,"Under Charged")))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57589B6-AD64-4845-BFC2-DD93254748FB}" name="Table712" displayName="Table712" ref="AD3:AG6" totalsRowShown="0">
  <autoFilter ref="AD3:AG6" xr:uid="{7C3E633F-A576-4A6C-91CA-EDCB757154A8}"/>
  <tableColumns count="4">
    <tableColumn id="1" xr3:uid="{87D2D589-BAA6-4A60-AA08-449B29DE6FD1}" name="DESCRIPTION"/>
    <tableColumn id="2" xr3:uid="{32BA2016-B2AB-4468-928F-C4ED7B7A14D5}" name="COUNT" dataDxfId="2">
      <calculatedColumnFormula>COUNTIF(Table811[Overall Status],"Perfectly Charged")</calculatedColumnFormula>
    </tableColumn>
    <tableColumn id="3" xr3:uid="{C2606C23-365D-4F2E-95A9-B2DACE8D0840}" name="AMOUNT(Rs)(expected amount)" dataDxfId="1">
      <calculatedColumnFormula>SUMIF(Table811[Overall Status],"Perfectly Charged",Table811[Expected Price])</calculatedColumnFormula>
    </tableColumn>
    <tableColumn id="4" xr3:uid="{A0859A50-DA48-4BF7-9FEA-523506FBF321}" name="AMOUNT(Rs)(Actually Charged)" dataDxfId="0">
      <calculatedColumnFormula>SUMIF(Table811[Overall Status],"Perfectly Charged",Table811[[Courirer Price 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FB082D-0852-4709-948B-62EDD8E58DA8}" name="SKU_Master" displayName="SKU_Master" ref="A1:E66" tableType="queryTable" totalsRowShown="0">
  <autoFilter ref="A1:E66" xr:uid="{CDFB082D-0852-4709-948B-62EDD8E58DA8}"/>
  <tableColumns count="5">
    <tableColumn id="1" xr3:uid="{9C601A10-FF9C-4CAF-91BC-B47473488A44}" uniqueName="1" name="SKU" queryTableFieldId="1" dataDxfId="42"/>
    <tableColumn id="2" xr3:uid="{9E5AE1A6-DD10-433E-A593-719A38DC5AD0}" uniqueName="2" name="Weight (g)" queryTableFieldId="2"/>
    <tableColumn id="3" xr3:uid="{4062D44C-5C5F-4924-9F6E-628767FAF43F}" uniqueName="3" name="Column1" queryTableFieldId="3" dataDxfId="41"/>
    <tableColumn id="4" xr3:uid="{76EA5869-2F19-43AA-A208-D75023B701FF}" uniqueName="4" name="_1" queryTableFieldId="4" dataDxfId="40"/>
    <tableColumn id="5" xr3:uid="{1CE00442-EDB7-4126-A5AA-B214533F1DBB}" uniqueName="5" name="_2" queryTableFieldId="5" dataDxfId="3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090395-BAEE-4B9E-89DD-5DD343E65ECE}" name="pincodes" displayName="pincodes" ref="A1:E109" tableType="queryTable" totalsRowShown="0">
  <autoFilter ref="A1:E109" xr:uid="{D5090395-BAEE-4B9E-89DD-5DD343E65ECE}"/>
  <tableColumns count="5">
    <tableColumn id="1" xr3:uid="{FA574AC4-5381-4731-9809-0FC0E108B76C}" uniqueName="1" name="Warehouse Pincode" queryTableFieldId="1"/>
    <tableColumn id="2" xr3:uid="{B7BF9DEC-1E8F-4DEA-8790-372A436B28A7}" uniqueName="2" name="Customer Pincode" queryTableFieldId="2"/>
    <tableColumn id="3" xr3:uid="{F995071F-52CB-427E-9259-37357DA7D3E1}" uniqueName="3" name=" ABC Zone" queryTableFieldId="3" dataDxfId="38"/>
    <tableColumn id="4" xr3:uid="{40B4776F-0A85-4914-9186-BC21D9917806}" uniqueName="4" name="Courier Zone" queryTableFieldId="4" dataDxfId="37"/>
    <tableColumn id="5" xr3:uid="{00F754A2-7241-461F-94D9-DF2D41E2E273}" uniqueName="5" name="Matching status" queryTableFieldId="5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88EF87-93BB-4397-874F-D56DA1BF9E2E}" name="Order_Report" displayName="Order_Report" ref="A1:E399" tableType="queryTable" totalsRowShown="0">
  <autoFilter ref="A1:E399" xr:uid="{8388EF87-93BB-4397-874F-D56DA1BF9E2E}"/>
  <tableColumns count="5">
    <tableColumn id="1" xr3:uid="{F1EBBF88-89B0-466D-A86F-A7ED62999C6B}" uniqueName="1" name="ExternOrderNo" queryTableFieldId="1"/>
    <tableColumn id="2" xr3:uid="{689F0787-71F3-4A6D-9401-5D56C5C257D0}" uniqueName="2" name="SKU" queryTableFieldId="2" dataDxfId="35"/>
    <tableColumn id="3" xr3:uid="{63B91E3F-5B7B-428A-A0A2-FA1E409A0B3D}" uniqueName="3" name="Order Qty" queryTableFieldId="3"/>
    <tableColumn id="4" xr3:uid="{6EB58A8F-43E5-4C0C-A09D-5C5F4E5C1211}" uniqueName="4" name="order weight " queryTableFieldId="4" dataDxfId="34"/>
    <tableColumn id="5" xr3:uid="{6D242EBE-4BA8-4277-9AAE-D396C534DCBE}" uniqueName="5" name="_total weight " queryTableFieldId="5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CB4755-BC32-4D45-B241-8343B0ACA11C}" name="Table8" displayName="Table8" ref="N2:Z126" totalsRowShown="0" tableBorderDxfId="32" headerRowCellStyle="60% - Accent6" dataCellStyle="60% - Accent6">
  <autoFilter ref="N2:Z126" xr:uid="{7ECB4755-BC32-4D45-B241-8343B0ACA11C}"/>
  <tableColumns count="13">
    <tableColumn id="1" xr3:uid="{68F5A3CC-388A-4319-80F3-A01DF82A0C2F}" name="Ext Order No" dataDxfId="31"/>
    <tableColumn id="2" xr3:uid="{75B78809-7122-47F3-8FF1-15182FFB465B}" name="Total weight ">
      <calculatedColumnFormula>SUMIFS(Order_Report[_total weight ],Order_Report[ExternOrderNo],$N3)</calculatedColumnFormula>
    </tableColumn>
    <tableColumn id="3" xr3:uid="{6A60FA96-FED4-44D2-8F7D-FDE921C754BA}" name="Rounded Weight " dataDxfId="30">
      <calculatedColumnFormula>CEILING(Table8[[#This Row],[Total weight ]],0.5)</calculatedColumnFormula>
    </tableColumn>
    <tableColumn id="4" xr3:uid="{3AC560E9-6568-4DFB-8193-ABDCC3FA67A8}" name="Customer area (courier)" dataDxfId="29">
      <calculatedColumnFormula>_xlfn.XLOOKUP(Table8[[#This Row],[Ext Order No]],Invoice[Order ID],Invoice[Zone])</calculatedColumnFormula>
    </tableColumn>
    <tableColumn id="5" xr3:uid="{CA4155D2-751A-4FB7-8DF9-B8A8D95167B2}" name="ABC area " dataDxfId="28">
      <calculatedColumnFormula>IF(pincodes[[#Headers],[Matching status]]="matched",'(abc)pincodes'!C2,'(abc)pincodes'!C2)</calculatedColumnFormula>
    </tableColumn>
    <tableColumn id="6" xr3:uid="{A42E6FD3-0F85-4EC5-8D69-834F10E21892}" name="Shipment Type " dataDxfId="27">
      <calculatedColumnFormula>_xlfn.XLOOKUP(Table8[[#This Row],[ABC area ]],Invoice[Zone],Invoice[Type of Shipment])</calculatedColumnFormula>
    </tableColumn>
    <tableColumn id="9" xr3:uid="{B8C4BD38-FF09-431B-8AFC-8E99F2E46AB0}" name="Shipment short_1"/>
    <tableColumn id="10" xr3:uid="{C3EBBF87-F628-4BFA-83DF-722BB3B2CDEF}" name="Shipment short _2"/>
    <tableColumn id="7" xr3:uid="{7D074D45-F6F1-4D09-B40D-9E65F40FF9E8}" name="Courirer Price " dataDxfId="26">
      <calculatedColumnFormula>_xlfn.XLOOKUP(Table8[[#This Row],[Ext Order No]],Invoice[Order ID],Invoice[Billing Amount (Rs.)],"not found")</calculatedColumnFormula>
    </tableColumn>
    <tableColumn id="8" xr3:uid="{C4EB9A6F-E563-44B7-BCFB-C76878627EFD}" name="Expected Price" dataDxfId="25">
      <calculatedColumnFormula>IF(AND(Table8[[#This Row],[Shipment short_1]]="fwd",Table8[[#This Row],[ABC area ]]="d"),'Courier Company - Rates'!G$8,IF(AND(Table8[[#This Row],[Shipment short_1]]="fwd",Table8[[#This Row],[ABC area ]]="b"),'Courier Company - Rates'!G$7))</calculatedColumnFormula>
    </tableColumn>
    <tableColumn id="11" xr3:uid="{07B6947B-E8D4-4DE7-B870-D64E0546E204}" name="AWB Number" dataDxfId="24">
      <calculatedColumnFormula>_xlfn.XLOOKUP(Table8[[#This Row],[Ext Order No]],Invoice[Order ID],Invoice[AWB Code])</calculatedColumnFormula>
    </tableColumn>
    <tableColumn id="12" xr3:uid="{4C1AD00E-1E77-4BC4-BCE5-2FB5A2C94305}" name="%change" dataDxfId="23" dataCellStyle="60% - Accent6">
      <calculatedColumnFormula>((Table8[[#This Row],[Courirer Price ]]-Table8[[#This Row],[Expected Price]])/Table8[[#This Row],[Expected Price]])*100</calculatedColumnFormula>
    </tableColumn>
    <tableColumn id="14" xr3:uid="{E37072A7-745D-4F62-8569-BA81A942C626}" name="Overall Status" dataDxfId="22" dataCellStyle="60% - Accent6">
      <calculatedColumnFormula>IF(Table8[[#This Row],[%change]]&gt;0,"Over Charged",IF(Table8[[#This Row],[%change]]=0,"Perfectly Charged",IF(Table8[[#This Row],[%change]]&lt;0,"Under Charged")))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3E633F-A576-4A6C-91CA-EDCB757154A8}" name="Table7" displayName="Table7" ref="AE3:AH6" totalsRowShown="0">
  <autoFilter ref="AE3:AH6" xr:uid="{7C3E633F-A576-4A6C-91CA-EDCB757154A8}"/>
  <tableColumns count="4">
    <tableColumn id="1" xr3:uid="{9444D1E7-A86A-4736-A953-1AE427771FD9}" name="DESCRIPTION"/>
    <tableColumn id="2" xr3:uid="{996A955E-385F-4FD2-A912-2FDBEBA1485F}" name="COUNT" dataDxfId="21">
      <calculatedColumnFormula>COUNTIF(Table8[Overall Status],"Perfectly Charged")</calculatedColumnFormula>
    </tableColumn>
    <tableColumn id="3" xr3:uid="{669F3F08-94C8-47CB-B703-ED895E751118}" name="AMOUNT(Rs)(expected amount)" dataDxfId="20">
      <calculatedColumnFormula>SUMIF(Table8[Overall Status],"Perfectly Charged",Table8[Expected Price])</calculatedColumnFormula>
    </tableColumn>
    <tableColumn id="4" xr3:uid="{F6F5C9ED-5306-4503-B28D-A82459D69504}" name="AMOUNT(Rs)(Actually Charged)" dataDxfId="19">
      <calculatedColumnFormula>SUMIF(Table8[Overall Status],"Perfectly Charged",Table8[[Courirer Price 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964680-046A-45F4-BB5E-6D8FD8A58FFB}" name="Invoice" displayName="Invoice" ref="A1:H125" tableType="queryTable" totalsRowShown="0">
  <autoFilter ref="A1:H125" xr:uid="{54964680-046A-45F4-BB5E-6D8FD8A58FFB}"/>
  <tableColumns count="8">
    <tableColumn id="1" xr3:uid="{0B16461A-79F9-403D-BB56-0AC0442F6B30}" uniqueName="1" name="AWB Code" queryTableFieldId="1"/>
    <tableColumn id="2" xr3:uid="{9DBFA86B-084D-409D-A1EF-8047A43336EB}" uniqueName="2" name="Order ID" queryTableFieldId="2"/>
    <tableColumn id="3" xr3:uid="{2153488D-9C69-43BD-9ABC-208426C40FDE}" uniqueName="3" name="Charged Weight" queryTableFieldId="3"/>
    <tableColumn id="4" xr3:uid="{1F87991C-B92B-4ADF-8610-5860374DB2A6}" uniqueName="4" name="Warehouse Pincode" queryTableFieldId="4"/>
    <tableColumn id="5" xr3:uid="{2766823D-DE66-4553-AC88-6E655C1F0949}" uniqueName="5" name="Customer Pincode" queryTableFieldId="5"/>
    <tableColumn id="6" xr3:uid="{7A6FC7A4-D839-4D98-9476-C494E1900A30}" uniqueName="6" name="Zone" queryTableFieldId="6" dataDxfId="18"/>
    <tableColumn id="7" xr3:uid="{1B414459-4925-45F4-935D-4F34A5D8F58A}" uniqueName="7" name="Type of Shipment" queryTableFieldId="7" dataDxfId="17"/>
    <tableColumn id="8" xr3:uid="{1F20ABB8-FB4B-4839-BF0D-488BC20A4E21}" uniqueName="8" name="Billing Amount (Rs.)" queryTableField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0774BC-3074-40D7-9026-68DD7550895B}" name="Courier_Company___Rates" displayName="Courier_Company___Rates" ref="A1:T2" tableType="queryTable" totalsRowShown="0">
  <autoFilter ref="A1:T2" xr:uid="{640774BC-3074-40D7-9026-68DD7550895B}"/>
  <tableColumns count="20">
    <tableColumn id="1" xr3:uid="{12C34702-2E00-4786-8CFC-990A9DA1FF31}" uniqueName="1" name="fwd_a_fixed" queryTableFieldId="1"/>
    <tableColumn id="2" xr3:uid="{B9332735-B3DB-47E0-9EBA-F735D79F7656}" uniqueName="2" name="fwd_a_additional" queryTableFieldId="2"/>
    <tableColumn id="3" xr3:uid="{A7C853AB-BDBF-4049-A14E-1744C9D20E99}" uniqueName="3" name="fwd_b_fixed" queryTableFieldId="3"/>
    <tableColumn id="4" xr3:uid="{6BEC2CA1-A66F-47CF-A334-7F88F6B9A741}" uniqueName="4" name="fwd_b_additional" queryTableFieldId="4"/>
    <tableColumn id="5" xr3:uid="{CB407400-F9DC-4D02-A9BA-3A3A0B715401}" uniqueName="5" name="fwd_c_fixed" queryTableFieldId="5"/>
    <tableColumn id="6" xr3:uid="{2E189C14-85C3-449A-A24B-9C89546233FA}" uniqueName="6" name="fwd_c_additional" queryTableFieldId="6"/>
    <tableColumn id="7" xr3:uid="{5D324535-C47D-4CE1-9028-7DF475F029C5}" uniqueName="7" name="fwd_d_fixed" queryTableFieldId="7"/>
    <tableColumn id="8" xr3:uid="{8ED2BB5B-4ED5-4BFC-9662-EF67A87B9DEE}" uniqueName="8" name="fwd_d_additional" queryTableFieldId="8"/>
    <tableColumn id="9" xr3:uid="{4B2FF817-4A67-43D9-AC78-DCF1AA353314}" uniqueName="9" name="fwd_e_fixed" queryTableFieldId="9"/>
    <tableColumn id="10" xr3:uid="{866DA55D-119A-44C6-909B-58875BA84316}" uniqueName="10" name="fwd_e_additional" queryTableFieldId="10"/>
    <tableColumn id="11" xr3:uid="{02D47E12-789C-4091-A8E7-44295E5C7CD8}" uniqueName="11" name="rto_a_fixed" queryTableFieldId="11"/>
    <tableColumn id="12" xr3:uid="{BDACB9C0-0947-4776-BBAE-D3A2F804EE6E}" uniqueName="12" name="rto_a_additional" queryTableFieldId="12"/>
    <tableColumn id="13" xr3:uid="{850FD5D6-0930-45AB-8BBC-7F21B48461EB}" uniqueName="13" name="rto_b_fixed" queryTableFieldId="13"/>
    <tableColumn id="14" xr3:uid="{8BD5A0AB-5B2A-4801-953E-F5E7A45D5C45}" uniqueName="14" name="rto_b_additional" queryTableFieldId="14"/>
    <tableColumn id="15" xr3:uid="{00370D61-EF95-45F2-A8DE-D1F03405D8D4}" uniqueName="15" name="rto_c_fixed" queryTableFieldId="15"/>
    <tableColumn id="16" xr3:uid="{BFF2C1D4-5D1D-45A9-B8F8-4E9498746E32}" uniqueName="16" name="rto_c_additional" queryTableFieldId="16"/>
    <tableColumn id="17" xr3:uid="{50436149-EBE5-48A2-9EB6-E3D00E46C1E9}" uniqueName="17" name="rto_d_fixed" queryTableFieldId="17"/>
    <tableColumn id="18" xr3:uid="{FB25CBF3-F33F-4D13-8D0E-9057E2735801}" uniqueName="18" name="rto_d_additional" queryTableFieldId="18"/>
    <tableColumn id="19" xr3:uid="{CD3091B7-641F-463A-9EA1-499D36D4FE33}" uniqueName="19" name="rto_e_fixed" queryTableFieldId="19"/>
    <tableColumn id="20" xr3:uid="{9DFBDCFC-B1FA-4B15-81DD-BD042A25CB54}" uniqueName="20" name="rto_e_additional" queryTableField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473DE1-1112-414B-AC04-1E7CEBF1AB07}" name="Table1" displayName="Table1" ref="E6:G13" insertRowShift="1" totalsRowShown="0">
  <autoFilter ref="E6:G13" xr:uid="{BD473DE1-1112-414B-AC04-1E7CEBF1AB07}"/>
  <tableColumns count="3">
    <tableColumn id="1" xr3:uid="{2504F46D-341D-4313-A4D2-C82C1489A396}" name="shipment_type_1"/>
    <tableColumn id="2" xr3:uid="{94B93481-5059-443D-AB28-0D6149FAAA42}" name="region"/>
    <tableColumn id="3" xr3:uid="{FC770F20-53E7-4D34-B820-1B2CC1368695}" name="r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27BE6-C45D-4789-8BE1-932D538BFB86}">
  <sheetPr codeName="Sheet8"/>
  <dimension ref="A1:AG399"/>
  <sheetViews>
    <sheetView tabSelected="1" topLeftCell="Y1" zoomScaleNormal="53" workbookViewId="0">
      <selection activeCell="AA112" sqref="AA112"/>
    </sheetView>
  </sheetViews>
  <sheetFormatPr defaultRowHeight="14.4" x14ac:dyDescent="0.3"/>
  <cols>
    <col min="1" max="1" width="15.88671875" bestFit="1" customWidth="1"/>
    <col min="2" max="2" width="14.21875" bestFit="1" customWidth="1"/>
    <col min="3" max="3" width="11.44140625" bestFit="1" customWidth="1"/>
    <col min="4" max="4" width="18.77734375" bestFit="1" customWidth="1"/>
    <col min="5" max="5" width="14.6640625" bestFit="1" customWidth="1"/>
    <col min="14" max="14" width="26.44140625" customWidth="1"/>
    <col min="15" max="15" width="17.77734375" hidden="1" customWidth="1"/>
    <col min="16" max="16" width="22.21875" customWidth="1"/>
    <col min="17" max="17" width="27.44140625" customWidth="1"/>
    <col min="18" max="18" width="17.109375" customWidth="1"/>
    <col min="19" max="19" width="23.33203125" customWidth="1"/>
    <col min="20" max="20" width="13.77734375" hidden="1" customWidth="1"/>
    <col min="21" max="21" width="17.6640625" customWidth="1"/>
    <col min="22" max="22" width="21.21875" customWidth="1"/>
    <col min="23" max="23" width="21.44140625" customWidth="1"/>
    <col min="24" max="24" width="14.6640625" customWidth="1"/>
    <col min="25" max="25" width="19" customWidth="1"/>
    <col min="30" max="30" width="51.109375" customWidth="1"/>
    <col min="31" max="31" width="22.109375" customWidth="1"/>
    <col min="32" max="32" width="34.21875" customWidth="1"/>
    <col min="33" max="33" width="33.88671875" customWidth="1"/>
    <col min="43" max="43" width="12.88671875" customWidth="1"/>
  </cols>
  <sheetData>
    <row r="1" spans="1:33" x14ac:dyDescent="0.3">
      <c r="A1" t="s">
        <v>77</v>
      </c>
      <c r="B1" t="s">
        <v>0</v>
      </c>
      <c r="C1" t="s">
        <v>78</v>
      </c>
      <c r="D1" t="s">
        <v>106</v>
      </c>
      <c r="E1" t="s">
        <v>107</v>
      </c>
    </row>
    <row r="2" spans="1:33" x14ac:dyDescent="0.3">
      <c r="A2">
        <v>2001827036</v>
      </c>
      <c r="B2" t="s">
        <v>25</v>
      </c>
      <c r="C2">
        <v>1</v>
      </c>
      <c r="D2">
        <f>_xlfn.XLOOKUP(Order_Report10[[#This Row],[SKU]],SKU_Master[SKU],SKU_Master[Weight (g)],"not found")</f>
        <v>127</v>
      </c>
      <c r="E2">
        <f>Order_Report10[[#This Row],[order weight ]]*Order_Report10[[#This Row],[Order Qty]]</f>
        <v>127</v>
      </c>
      <c r="G2">
        <f>SUM(E2:E9)</f>
        <v>1676</v>
      </c>
      <c r="L2">
        <f>SUMIFS(Order_Report10[_total weight ],Order_Report10[ExternOrderNo],A:A)</f>
        <v>1676</v>
      </c>
      <c r="N2" s="1" t="s">
        <v>108</v>
      </c>
      <c r="O2" t="s">
        <v>109</v>
      </c>
      <c r="P2" t="s">
        <v>110</v>
      </c>
      <c r="Q2" t="s">
        <v>114</v>
      </c>
      <c r="R2" t="s">
        <v>115</v>
      </c>
      <c r="S2" t="s">
        <v>116</v>
      </c>
      <c r="T2" t="s">
        <v>121</v>
      </c>
      <c r="U2" t="s">
        <v>117</v>
      </c>
      <c r="V2" t="s">
        <v>118</v>
      </c>
      <c r="W2" t="s">
        <v>126</v>
      </c>
      <c r="X2" s="3" t="s">
        <v>127</v>
      </c>
      <c r="Y2" s="3" t="s">
        <v>133</v>
      </c>
    </row>
    <row r="3" spans="1:33" x14ac:dyDescent="0.3">
      <c r="A3">
        <v>2001827036</v>
      </c>
      <c r="B3" t="s">
        <v>39</v>
      </c>
      <c r="C3">
        <v>1</v>
      </c>
      <c r="D3">
        <f>_xlfn.XLOOKUP(Order_Report10[[#This Row],[SKU]],SKU_Master[SKU],SKU_Master[Weight (g)],"not found")</f>
        <v>150</v>
      </c>
      <c r="E3">
        <f>Order_Report10[[#This Row],[order weight ]]*Order_Report10[[#This Row],[Order Qty]]</f>
        <v>150</v>
      </c>
      <c r="N3" s="2">
        <v>2001827036</v>
      </c>
      <c r="O3">
        <f>SUMIFS(Order_Report10[_total weight ],Order_Report10[ExternOrderNo],$N3)</f>
        <v>1676</v>
      </c>
      <c r="P3">
        <f>CEILING(Table811[[#This Row],[Total weight ]],0.5)</f>
        <v>1676</v>
      </c>
      <c r="Q3" t="str">
        <f>_xlfn.XLOOKUP(Table811[[#This Row],[Ext Order No]],Invoice[Order ID],Invoice[Zone])</f>
        <v>b</v>
      </c>
      <c r="R3" t="str">
        <f>IF(pincodes[[#Headers],[Matching status]]="matched",'(abc)pincodes'!C2,'(abc)pincodes'!C2)</f>
        <v>d</v>
      </c>
      <c r="S3" t="str">
        <f>_xlfn.XLOOKUP(Table811[[#This Row],[ABC area ]],Invoice[Zone],Invoice[Type of Shipment])</f>
        <v>Forward charges</v>
      </c>
      <c r="T3" t="s">
        <v>119</v>
      </c>
      <c r="U3">
        <f>_xlfn.XLOOKUP(Table811[[#This Row],[Ext Order No]],Invoice[Order ID],Invoice[Billing Amount (Rs.)],"not found")</f>
        <v>117.9</v>
      </c>
      <c r="V3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">
        <f>_xlfn.XLOOKUP(Table811[[#This Row],[Ext Order No]],Invoice[Order ID],Invoice[AWB Code])</f>
        <v>1091122418320</v>
      </c>
      <c r="X3" s="4">
        <f>((Table811[[#This Row],[Courirer Price ]]-Table811[[#This Row],[Expected Price]])/Table811[[#This Row],[Expected Price]])*100</f>
        <v>159.69162995594715</v>
      </c>
      <c r="Y3" s="4" t="str">
        <f>IF(Table811[[#This Row],[%change]]&gt;0,"Over Charged",IF(Table811[[#This Row],[%change]]=0,"Perfectly Charged",IF(Table811[[#This Row],[%change]]&lt;0,"Under Charged")))</f>
        <v>Over Charged</v>
      </c>
      <c r="AD3" t="s">
        <v>128</v>
      </c>
      <c r="AE3" t="s">
        <v>129</v>
      </c>
      <c r="AF3" t="s">
        <v>134</v>
      </c>
      <c r="AG3" t="s">
        <v>135</v>
      </c>
    </row>
    <row r="4" spans="1:33" ht="19.8" customHeight="1" x14ac:dyDescent="0.3">
      <c r="A4">
        <v>2001827036</v>
      </c>
      <c r="B4" t="s">
        <v>40</v>
      </c>
      <c r="C4">
        <v>1</v>
      </c>
      <c r="D4">
        <f>_xlfn.XLOOKUP(Order_Report10[[#This Row],[SKU]],SKU_Master[SKU],SKU_Master[Weight (g)],"not found")</f>
        <v>100</v>
      </c>
      <c r="E4">
        <f>Order_Report10[[#This Row],[order weight ]]*Order_Report10[[#This Row],[Order Qty]]</f>
        <v>100</v>
      </c>
      <c r="N4" s="1">
        <v>2001825261</v>
      </c>
      <c r="O4">
        <f>SUMIFS(Order_Report10[_total weight ],Order_Report10[ExternOrderNo],$N4)</f>
        <v>1557</v>
      </c>
      <c r="P4">
        <f>CEILING(Table811[[#This Row],[Total weight ]],0.5)</f>
        <v>1557</v>
      </c>
      <c r="Q4" t="str">
        <f>_xlfn.XLOOKUP(Table811[[#This Row],[Ext Order No]],Invoice[Order ID],Invoice[Zone])</f>
        <v>d</v>
      </c>
      <c r="R4" t="str">
        <f>IF(pincodes[[#Headers],[Matching status]]="matched",'(abc)pincodes'!C3,'(abc)pincodes'!C3)</f>
        <v>d</v>
      </c>
      <c r="S4" t="str">
        <f>_xlfn.XLOOKUP(Table811[[#This Row],[ABC area ]],Invoice[Zone],Invoice[Type of Shipment])</f>
        <v>Forward charges</v>
      </c>
      <c r="T4" t="s">
        <v>119</v>
      </c>
      <c r="U4">
        <f>_xlfn.XLOOKUP(Table811[[#This Row],[Ext Order No]],Invoice[Order ID],Invoice[Billing Amount (Rs.)],"not found")</f>
        <v>345</v>
      </c>
      <c r="V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">
        <f>_xlfn.XLOOKUP(Table811[[#This Row],[Ext Order No]],Invoice[Order ID],Invoice[AWB Code])</f>
        <v>1091121981575</v>
      </c>
      <c r="X4" s="4">
        <f>((Table811[[#This Row],[Courirer Price ]]-Table811[[#This Row],[Expected Price]])/Table811[[#This Row],[Expected Price]])*100</f>
        <v>659.91189427312781</v>
      </c>
      <c r="Y4" s="4" t="str">
        <f>IF(Table811[[#This Row],[%change]]&gt;0,"Over Charged",IF(Table811[[#This Row],[%change]]=0,"Perfectly Charged",IF(Table811[[#This Row],[%change]]&lt;0,"Under Charged")))</f>
        <v>Over Charged</v>
      </c>
      <c r="AD4" t="s">
        <v>130</v>
      </c>
      <c r="AE4">
        <f>COUNTIF(Table811[Overall Status],"Perfectly Charged")</f>
        <v>9</v>
      </c>
      <c r="AF4">
        <f>SUMIF(Table811[Overall Status],"Perfectly Charged",Table811[Expected Price])</f>
        <v>383.79999999999995</v>
      </c>
      <c r="AG4">
        <f>SUMIF(Table811[Overall Status],"Perfectly Charged",Table811[[Courirer Price ]])</f>
        <v>383.79999999999995</v>
      </c>
    </row>
    <row r="5" spans="1:33" x14ac:dyDescent="0.3">
      <c r="A5">
        <v>2001827036</v>
      </c>
      <c r="B5" t="s">
        <v>15</v>
      </c>
      <c r="C5">
        <v>1</v>
      </c>
      <c r="D5">
        <f>_xlfn.XLOOKUP(Order_Report10[[#This Row],[SKU]],SKU_Master[SKU],SKU_Master[Weight (g)],"not found")</f>
        <v>165</v>
      </c>
      <c r="E5">
        <f>Order_Report10[[#This Row],[order weight ]]*Order_Report10[[#This Row],[Order Qty]]</f>
        <v>165</v>
      </c>
      <c r="N5" s="2">
        <v>2001823564</v>
      </c>
      <c r="O5">
        <f>SUMIFS(Order_Report10[_total weight ],Order_Report10[ExternOrderNo],$N5)</f>
        <v>672</v>
      </c>
      <c r="P5">
        <f>CEILING(Table811[[#This Row],[Total weight ]],0.5)</f>
        <v>672</v>
      </c>
      <c r="Q5" t="str">
        <f>_xlfn.XLOOKUP(Table811[[#This Row],[Ext Order No]],Invoice[Order ID],Invoice[Zone])</f>
        <v>d</v>
      </c>
      <c r="R5" t="str">
        <f>IF(pincodes[[#Headers],[Matching status]]="matched",'(abc)pincodes'!C4,'(abc)pincodes'!C4)</f>
        <v>d</v>
      </c>
      <c r="S5" t="str">
        <f>_xlfn.XLOOKUP(Table811[[#This Row],[ABC area ]],Invoice[Zone],Invoice[Type of Shipment])</f>
        <v>Forward charges</v>
      </c>
      <c r="T5" t="s">
        <v>119</v>
      </c>
      <c r="U5">
        <f>_xlfn.XLOOKUP(Table811[[#This Row],[Ext Order No]],Invoice[Order ID],Invoice[Billing Amount (Rs.)],"not found")</f>
        <v>172.8</v>
      </c>
      <c r="V5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">
        <f>_xlfn.XLOOKUP(Table811[[#This Row],[Ext Order No]],Invoice[Order ID],Invoice[AWB Code])</f>
        <v>1091121666133</v>
      </c>
      <c r="X5" s="4">
        <f>((Table811[[#This Row],[Courirer Price ]]-Table811[[#This Row],[Expected Price]])/Table811[[#This Row],[Expected Price]])*100</f>
        <v>280.61674008810576</v>
      </c>
      <c r="Y5" s="4" t="str">
        <f>IF(Table811[[#This Row],[%change]]&gt;0,"Over Charged",IF(Table811[[#This Row],[%change]]=0,"Perfectly Charged",IF(Table811[[#This Row],[%change]]&lt;0,"Under Charged")))</f>
        <v>Over Charged</v>
      </c>
      <c r="AD5" t="s">
        <v>131</v>
      </c>
      <c r="AE5">
        <f>COUNTIF(Table811[Overall Status],"Over Charged")</f>
        <v>94</v>
      </c>
      <c r="AF5">
        <f>SUMIF(Table811[Overall Status],"Over Charged",Table811[Expected Price])</f>
        <v>3622.6000000000013</v>
      </c>
      <c r="AG5">
        <f>SUMIF(Table811[Overall Status],"Over Charged",Table811[[Courirer Price ]])</f>
        <v>11100.300000000003</v>
      </c>
    </row>
    <row r="6" spans="1:33" x14ac:dyDescent="0.3">
      <c r="A6">
        <v>2001827036</v>
      </c>
      <c r="B6" t="s">
        <v>47</v>
      </c>
      <c r="C6">
        <v>1</v>
      </c>
      <c r="D6">
        <f>_xlfn.XLOOKUP(Order_Report10[[#This Row],[SKU]],SKU_Master[SKU],SKU_Master[Weight (g)],"not found")</f>
        <v>350</v>
      </c>
      <c r="E6">
        <f>Order_Report10[[#This Row],[order weight ]]*Order_Report10[[#This Row],[Order Qty]]</f>
        <v>350</v>
      </c>
      <c r="N6" s="1">
        <v>2001822466</v>
      </c>
      <c r="O6">
        <f>SUMIFS(Order_Report10[_total weight ],Order_Report10[ExternOrderNo],$N6)</f>
        <v>480</v>
      </c>
      <c r="P6">
        <f>CEILING(Table811[[#This Row],[Total weight ]],0.5)</f>
        <v>480</v>
      </c>
      <c r="Q6" t="str">
        <f>_xlfn.XLOOKUP(Table811[[#This Row],[Ext Order No]],Invoice[Order ID],Invoice[Zone])</f>
        <v>d</v>
      </c>
      <c r="R6" t="str">
        <f>IF(pincodes[[#Headers],[Matching status]]="matched",'(abc)pincodes'!C5,'(abc)pincodes'!C5)</f>
        <v>b</v>
      </c>
      <c r="S6" t="str">
        <f>_xlfn.XLOOKUP(Table811[[#This Row],[ABC area ]],Invoice[Zone],Invoice[Type of Shipment])</f>
        <v>Forward charges</v>
      </c>
      <c r="T6" t="s">
        <v>119</v>
      </c>
      <c r="U6">
        <f>_xlfn.XLOOKUP(Table811[[#This Row],[Ext Order No]],Invoice[Order ID],Invoice[Billing Amount (Rs.)],"not found")</f>
        <v>135</v>
      </c>
      <c r="V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">
        <f>_xlfn.XLOOKUP(Table811[[#This Row],[Ext Order No]],Invoice[Order ID],Invoice[AWB Code])</f>
        <v>1091121305541</v>
      </c>
      <c r="X6" s="4">
        <f>((Table811[[#This Row],[Courirer Price ]]-Table811[[#This Row],[Expected Price]])/Table811[[#This Row],[Expected Price]])*100</f>
        <v>309.09090909090907</v>
      </c>
      <c r="Y6" s="4" t="str">
        <f>IF(Table811[[#This Row],[%change]]&gt;0,"Over Charged",IF(Table811[[#This Row],[%change]]=0,"Perfectly Charged",IF(Table811[[#This Row],[%change]]&lt;0,"Under Charged")))</f>
        <v>Over Charged</v>
      </c>
      <c r="AD6" t="s">
        <v>132</v>
      </c>
      <c r="AE6">
        <f>COUNTIF(Table811[Overall Status],"Under Charged")</f>
        <v>4</v>
      </c>
      <c r="AF6">
        <f>SUMIF(Table811[Overall Status],"Under Charged",Table811[Expected Price])</f>
        <v>367.3</v>
      </c>
      <c r="AG6">
        <f>SUMIF(Table811[Overall Status],"Under Charged",Table811[[Courirer Price ]])</f>
        <v>274.7</v>
      </c>
    </row>
    <row r="7" spans="1:33" x14ac:dyDescent="0.3">
      <c r="A7">
        <v>2001827036</v>
      </c>
      <c r="B7" t="s">
        <v>58</v>
      </c>
      <c r="C7">
        <v>1</v>
      </c>
      <c r="D7">
        <f>_xlfn.XLOOKUP(Order_Report10[[#This Row],[SKU]],SKU_Master[SKU],SKU_Master[Weight (g)],"not found")</f>
        <v>500</v>
      </c>
      <c r="E7">
        <f>Order_Report10[[#This Row],[order weight ]]*Order_Report10[[#This Row],[Order Qty]]</f>
        <v>500</v>
      </c>
      <c r="N7" s="1">
        <v>2001821995</v>
      </c>
      <c r="O7">
        <f>SUMIFS(Order_Report10[_total weight ],Order_Report10[ExternOrderNo],$N7)</f>
        <v>477</v>
      </c>
      <c r="P7">
        <f>CEILING(Table811[[#This Row],[Total weight ]],0.5)</f>
        <v>477</v>
      </c>
      <c r="Q7" t="str">
        <f>_xlfn.XLOOKUP(Table811[[#This Row],[Ext Order No]],Invoice[Order ID],Invoice[Zone])</f>
        <v>d</v>
      </c>
      <c r="R7" t="str">
        <f>IF(pincodes[[#Headers],[Matching status]]="matched",'(abc)pincodes'!C6,'(abc)pincodes'!C6)</f>
        <v>d</v>
      </c>
      <c r="S7" t="str">
        <f>_xlfn.XLOOKUP(Table811[[#This Row],[ABC area ]],Invoice[Zone],Invoice[Type of Shipment])</f>
        <v>Forward charges</v>
      </c>
      <c r="T7" t="s">
        <v>119</v>
      </c>
      <c r="U7">
        <f>_xlfn.XLOOKUP(Table811[[#This Row],[Ext Order No]],Invoice[Order ID],Invoice[Billing Amount (Rs.)],"not found")</f>
        <v>45.4</v>
      </c>
      <c r="V7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7">
        <f>_xlfn.XLOOKUP(Table811[[#This Row],[Ext Order No]],Invoice[Order ID],Invoice[AWB Code])</f>
        <v>1091121183730</v>
      </c>
      <c r="X7" s="4">
        <f>((Table811[[#This Row],[Courirer Price ]]-Table811[[#This Row],[Expected Price]])/Table811[[#This Row],[Expected Price]])*100</f>
        <v>0</v>
      </c>
      <c r="Y7" s="4" t="str">
        <f>IF(Table811[[#This Row],[%change]]&gt;0,"Over Charged",IF(Table811[[#This Row],[%change]]=0,"Perfectly Charged",IF(Table811[[#This Row],[%change]]&lt;0,"Under Charged")))</f>
        <v>Perfectly Charged</v>
      </c>
    </row>
    <row r="8" spans="1:33" x14ac:dyDescent="0.3">
      <c r="A8">
        <v>2001827036</v>
      </c>
      <c r="B8" t="s">
        <v>21</v>
      </c>
      <c r="C8">
        <v>2</v>
      </c>
      <c r="D8">
        <f>_xlfn.XLOOKUP(Order_Report10[[#This Row],[SKU]],SKU_Master[SKU],SKU_Master[Weight (g)],"not found")</f>
        <v>137</v>
      </c>
      <c r="E8">
        <f>Order_Report10[[#This Row],[order weight ]]*Order_Report10[[#This Row],[Order Qty]]</f>
        <v>274</v>
      </c>
      <c r="N8" s="1">
        <v>2001821766</v>
      </c>
      <c r="O8">
        <f>SUMIFS(Order_Report10[_total weight ],Order_Report10[ExternOrderNo],$N8)</f>
        <v>240</v>
      </c>
      <c r="P8">
        <f>CEILING(Table811[[#This Row],[Total weight ]],0.5)</f>
        <v>240</v>
      </c>
      <c r="Q8" t="str">
        <f>_xlfn.XLOOKUP(Table811[[#This Row],[Ext Order No]],Invoice[Order ID],Invoice[Zone])</f>
        <v>d</v>
      </c>
      <c r="R8" t="str">
        <f>IF(pincodes[[#Headers],[Matching status]]="matched",'(abc)pincodes'!C7,'(abc)pincodes'!C7)</f>
        <v>d</v>
      </c>
      <c r="S8" t="str">
        <f>_xlfn.XLOOKUP(Table811[[#This Row],[ABC area ]],Invoice[Zone],Invoice[Type of Shipment])</f>
        <v>Forward charges</v>
      </c>
      <c r="T8" t="s">
        <v>119</v>
      </c>
      <c r="U8">
        <f>_xlfn.XLOOKUP(Table811[[#This Row],[Ext Order No]],Invoice[Order ID],Invoice[Billing Amount (Rs.)],"not found")</f>
        <v>45.4</v>
      </c>
      <c r="V8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8">
        <f>_xlfn.XLOOKUP(Table811[[#This Row],[Ext Order No]],Invoice[Order ID],Invoice[AWB Code])</f>
        <v>1091121034641</v>
      </c>
      <c r="X8" s="4">
        <f>((Table811[[#This Row],[Courirer Price ]]-Table811[[#This Row],[Expected Price]])/Table811[[#This Row],[Expected Price]])*100</f>
        <v>0</v>
      </c>
      <c r="Y8" s="4" t="str">
        <f>IF(Table811[[#This Row],[%change]]&gt;0,"Over Charged",IF(Table811[[#This Row],[%change]]=0,"Perfectly Charged",IF(Table811[[#This Row],[%change]]&lt;0,"Under Charged")))</f>
        <v>Perfectly Charged</v>
      </c>
    </row>
    <row r="9" spans="1:33" x14ac:dyDescent="0.3">
      <c r="A9">
        <v>2001827036</v>
      </c>
      <c r="B9" t="s">
        <v>70</v>
      </c>
      <c r="C9">
        <v>1</v>
      </c>
      <c r="D9">
        <f>_xlfn.XLOOKUP(Order_Report10[[#This Row],[SKU]],SKU_Master[SKU],SKU_Master[Weight (g)],"not found")</f>
        <v>10</v>
      </c>
      <c r="E9">
        <f>Order_Report10[[#This Row],[order weight ]]*Order_Report10[[#This Row],[Order Qty]]</f>
        <v>10</v>
      </c>
      <c r="N9" s="2">
        <v>2001821750</v>
      </c>
      <c r="O9">
        <f>SUMIFS(Order_Report10[_total weight ],Order_Report10[ExternOrderNo],$N9)</f>
        <v>755</v>
      </c>
      <c r="P9">
        <f>CEILING(Table811[[#This Row],[Total weight ]],0.5)</f>
        <v>755</v>
      </c>
      <c r="Q9" t="str">
        <f>_xlfn.XLOOKUP(Table811[[#This Row],[Ext Order No]],Invoice[Order ID],Invoice[Zone])</f>
        <v>d</v>
      </c>
      <c r="R9" t="str">
        <f>IF(pincodes[[#Headers],[Matching status]]="matched",'(abc)pincodes'!C8,'(abc)pincodes'!C8)</f>
        <v>b</v>
      </c>
      <c r="S9" t="str">
        <f>_xlfn.XLOOKUP(Table811[[#This Row],[ABC area ]],Invoice[Zone],Invoice[Type of Shipment])</f>
        <v>Forward charges</v>
      </c>
      <c r="T9" t="s">
        <v>119</v>
      </c>
      <c r="U9">
        <f>_xlfn.XLOOKUP(Table811[[#This Row],[Ext Order No]],Invoice[Order ID],Invoice[Billing Amount (Rs.)],"not found")</f>
        <v>90.2</v>
      </c>
      <c r="V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">
        <f>_xlfn.XLOOKUP(Table811[[#This Row],[Ext Order No]],Invoice[Order ID],Invoice[AWB Code])</f>
        <v>1091121034350</v>
      </c>
      <c r="X9" s="4">
        <f>((Table811[[#This Row],[Courirer Price ]]-Table811[[#This Row],[Expected Price]])/Table811[[#This Row],[Expected Price]])*100</f>
        <v>173.33333333333334</v>
      </c>
      <c r="Y9" s="4" t="str">
        <f>IF(Table811[[#This Row],[%change]]&gt;0,"Over Charged",IF(Table811[[#This Row],[%change]]=0,"Perfectly Charged",IF(Table811[[#This Row],[%change]]&lt;0,"Under Charged")))</f>
        <v>Over Charged</v>
      </c>
    </row>
    <row r="10" spans="1:33" x14ac:dyDescent="0.3">
      <c r="A10">
        <v>2001825261</v>
      </c>
      <c r="B10" t="s">
        <v>35</v>
      </c>
      <c r="C10">
        <v>4</v>
      </c>
      <c r="D10">
        <f>_xlfn.XLOOKUP(Order_Report10[[#This Row],[SKU]],SKU_Master[SKU],SKU_Master[Weight (g)],"not found")</f>
        <v>112</v>
      </c>
      <c r="E10">
        <f>Order_Report10[[#This Row],[order weight ]]*Order_Report10[[#This Row],[Order Qty]]</f>
        <v>448</v>
      </c>
      <c r="N10" s="1">
        <v>2001821742</v>
      </c>
      <c r="O10">
        <f>SUMIFS(Order_Report10[_total weight ],Order_Report10[ExternOrderNo],$N10)</f>
        <v>240</v>
      </c>
      <c r="P10">
        <f>CEILING(Table811[[#This Row],[Total weight ]],0.5)</f>
        <v>240</v>
      </c>
      <c r="Q10" t="str">
        <f>_xlfn.XLOOKUP(Table811[[#This Row],[Ext Order No]],Invoice[Order ID],Invoice[Zone])</f>
        <v>d</v>
      </c>
      <c r="R10" t="str">
        <f>IF(pincodes[[#Headers],[Matching status]]="matched",'(abc)pincodes'!C9,'(abc)pincodes'!C9)</f>
        <v>b</v>
      </c>
      <c r="S10" t="str">
        <f>_xlfn.XLOOKUP(Table811[[#This Row],[ABC area ]],Invoice[Zone],Invoice[Type of Shipment])</f>
        <v>Forward charges</v>
      </c>
      <c r="T10" t="s">
        <v>119</v>
      </c>
      <c r="U10">
        <f>_xlfn.XLOOKUP(Table811[[#This Row],[Ext Order No]],Invoice[Order ID],Invoice[Billing Amount (Rs.)],"not found")</f>
        <v>45.4</v>
      </c>
      <c r="V1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">
        <f>_xlfn.XLOOKUP(Table811[[#This Row],[Ext Order No]],Invoice[Order ID],Invoice[AWB Code])</f>
        <v>1091121034114</v>
      </c>
      <c r="X10" s="4">
        <f>((Table811[[#This Row],[Courirer Price ]]-Table811[[#This Row],[Expected Price]])/Table811[[#This Row],[Expected Price]])*100</f>
        <v>37.575757575757571</v>
      </c>
      <c r="Y10" s="4" t="str">
        <f>IF(Table811[[#This Row],[%change]]&gt;0,"Over Charged",IF(Table811[[#This Row],[%change]]=0,"Perfectly Charged",IF(Table811[[#This Row],[%change]]&lt;0,"Under Charged")))</f>
        <v>Over Charged</v>
      </c>
    </row>
    <row r="11" spans="1:33" x14ac:dyDescent="0.3">
      <c r="A11">
        <v>2001825261</v>
      </c>
      <c r="B11" t="s">
        <v>54</v>
      </c>
      <c r="C11">
        <v>4</v>
      </c>
      <c r="D11">
        <f>_xlfn.XLOOKUP(Order_Report10[[#This Row],[SKU]],SKU_Master[SKU],SKU_Master[Weight (g)],"not found")</f>
        <v>112</v>
      </c>
      <c r="E11">
        <f>Order_Report10[[#This Row],[order weight ]]*Order_Report10[[#This Row],[Order Qty]]</f>
        <v>448</v>
      </c>
      <c r="N11" s="2">
        <v>2001821679</v>
      </c>
      <c r="O11">
        <f>SUMIFS(Order_Report10[_total weight ],Order_Report10[ExternOrderNo],$N11)</f>
        <v>165</v>
      </c>
      <c r="P11">
        <f>CEILING(Table811[[#This Row],[Total weight ]],0.5)</f>
        <v>165</v>
      </c>
      <c r="Q11" t="str">
        <f>_xlfn.XLOOKUP(Table811[[#This Row],[Ext Order No]],Invoice[Order ID],Invoice[Zone])</f>
        <v>d</v>
      </c>
      <c r="R11" t="str">
        <f>IF(pincodes[[#Headers],[Matching status]]="matched",'(abc)pincodes'!C10,'(abc)pincodes'!C10)</f>
        <v>d</v>
      </c>
      <c r="S11" t="str">
        <f>_xlfn.XLOOKUP(Table811[[#This Row],[ABC area ]],Invoice[Zone],Invoice[Type of Shipment])</f>
        <v>Forward charges</v>
      </c>
      <c r="T11" t="s">
        <v>119</v>
      </c>
      <c r="U11">
        <f>_xlfn.XLOOKUP(Table811[[#This Row],[Ext Order No]],Invoice[Order ID],Invoice[Billing Amount (Rs.)],"not found")</f>
        <v>45.4</v>
      </c>
      <c r="V11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1">
        <f>_xlfn.XLOOKUP(Table811[[#This Row],[Ext Order No]],Invoice[Order ID],Invoice[AWB Code])</f>
        <v>1091121031745</v>
      </c>
      <c r="X11" s="4">
        <f>((Table811[[#This Row],[Courirer Price ]]-Table811[[#This Row],[Expected Price]])/Table811[[#This Row],[Expected Price]])*100</f>
        <v>0</v>
      </c>
      <c r="Y11" s="4" t="str">
        <f>IF(Table811[[#This Row],[%change]]&gt;0,"Over Charged",IF(Table811[[#This Row],[%change]]=0,"Perfectly Charged",IF(Table811[[#This Row],[%change]]&lt;0,"Under Charged")))</f>
        <v>Perfectly Charged</v>
      </c>
    </row>
    <row r="12" spans="1:33" x14ac:dyDescent="0.3">
      <c r="A12">
        <v>2001825261</v>
      </c>
      <c r="B12" t="s">
        <v>21</v>
      </c>
      <c r="C12">
        <v>3</v>
      </c>
      <c r="D12">
        <f>_xlfn.XLOOKUP(Order_Report10[[#This Row],[SKU]],SKU_Master[SKU],SKU_Master[Weight (g)],"not found")</f>
        <v>137</v>
      </c>
      <c r="E12">
        <f>Order_Report10[[#This Row],[order weight ]]*Order_Report10[[#This Row],[Order Qty]]</f>
        <v>411</v>
      </c>
      <c r="N12" s="1">
        <v>2001821502</v>
      </c>
      <c r="O12">
        <f>SUMIFS(Order_Report10[_total weight ],Order_Report10[ExternOrderNo],$N12)</f>
        <v>558</v>
      </c>
      <c r="P12">
        <f>CEILING(Table811[[#This Row],[Total weight ]],0.5)</f>
        <v>558</v>
      </c>
      <c r="Q12" t="str">
        <f>_xlfn.XLOOKUP(Table811[[#This Row],[Ext Order No]],Invoice[Order ID],Invoice[Zone])</f>
        <v>d</v>
      </c>
      <c r="R12" t="str">
        <f>IF(pincodes[[#Headers],[Matching status]]="matched",'(abc)pincodes'!C11,'(abc)pincodes'!C11)</f>
        <v>d</v>
      </c>
      <c r="S12" t="str">
        <f>_xlfn.XLOOKUP(Table811[[#This Row],[ABC area ]],Invoice[Zone],Invoice[Type of Shipment])</f>
        <v>Forward charges</v>
      </c>
      <c r="T12" t="s">
        <v>119</v>
      </c>
      <c r="U12">
        <f>_xlfn.XLOOKUP(Table811[[#This Row],[Ext Order No]],Invoice[Order ID],Invoice[Billing Amount (Rs.)],"not found")</f>
        <v>90.2</v>
      </c>
      <c r="V12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2">
        <f>_xlfn.XLOOKUP(Table811[[#This Row],[Ext Order No]],Invoice[Order ID],Invoice[AWB Code])</f>
        <v>1091121185863</v>
      </c>
      <c r="X12" s="4">
        <f>((Table811[[#This Row],[Courirer Price ]]-Table811[[#This Row],[Expected Price]])/Table811[[#This Row],[Expected Price]])*100</f>
        <v>98.678414096916313</v>
      </c>
      <c r="Y12" s="4" t="str">
        <f>IF(Table811[[#This Row],[%change]]&gt;0,"Over Charged",IF(Table811[[#This Row],[%change]]=0,"Perfectly Charged",IF(Table811[[#This Row],[%change]]&lt;0,"Under Charged")))</f>
        <v>Over Charged</v>
      </c>
    </row>
    <row r="13" spans="1:33" x14ac:dyDescent="0.3">
      <c r="A13">
        <v>2001825261</v>
      </c>
      <c r="B13" t="s">
        <v>23</v>
      </c>
      <c r="C13">
        <v>1</v>
      </c>
      <c r="D13">
        <f>_xlfn.XLOOKUP(Order_Report10[[#This Row],[SKU]],SKU_Master[SKU],SKU_Master[Weight (g)],"not found")</f>
        <v>240</v>
      </c>
      <c r="E13">
        <f>Order_Report10[[#This Row],[order weight ]]*Order_Report10[[#This Row],[Order Qty]]</f>
        <v>240</v>
      </c>
      <c r="N13" s="2">
        <v>2001821284</v>
      </c>
      <c r="O13">
        <f>SUMIFS(Order_Report10[_total weight ],Order_Report10[ExternOrderNo],$N13)</f>
        <v>177</v>
      </c>
      <c r="P13">
        <f>CEILING(Table811[[#This Row],[Total weight ]],0.5)</f>
        <v>177</v>
      </c>
      <c r="Q13" t="str">
        <f>_xlfn.XLOOKUP(Table811[[#This Row],[Ext Order No]],Invoice[Order ID],Invoice[Zone])</f>
        <v>d</v>
      </c>
      <c r="R13" t="str">
        <f>IF(pincodes[[#Headers],[Matching status]]="matched",'(abc)pincodes'!C12,'(abc)pincodes'!C12)</f>
        <v>b</v>
      </c>
      <c r="S13" t="str">
        <f>_xlfn.XLOOKUP(Table811[[#This Row],[ABC area ]],Invoice[Zone],Invoice[Type of Shipment])</f>
        <v>Forward charges</v>
      </c>
      <c r="T13" t="s">
        <v>119</v>
      </c>
      <c r="U13">
        <f>_xlfn.XLOOKUP(Table811[[#This Row],[Ext Order No]],Invoice[Order ID],Invoice[Billing Amount (Rs.)],"not found")</f>
        <v>45.4</v>
      </c>
      <c r="V1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3">
        <f>_xlfn.XLOOKUP(Table811[[#This Row],[Ext Order No]],Invoice[Order ID],Invoice[AWB Code])</f>
        <v>1091120962515</v>
      </c>
      <c r="X13" s="4">
        <f>((Table811[[#This Row],[Courirer Price ]]-Table811[[#This Row],[Expected Price]])/Table811[[#This Row],[Expected Price]])*100</f>
        <v>37.575757575757571</v>
      </c>
      <c r="Y13" s="4" t="str">
        <f>IF(Table811[[#This Row],[%change]]&gt;0,"Over Charged",IF(Table811[[#This Row],[%change]]=0,"Perfectly Charged",IF(Table811[[#This Row],[%change]]&lt;0,"Under Charged")))</f>
        <v>Over Charged</v>
      </c>
    </row>
    <row r="14" spans="1:33" x14ac:dyDescent="0.3">
      <c r="A14">
        <v>2001825261</v>
      </c>
      <c r="B14" t="s">
        <v>70</v>
      </c>
      <c r="C14">
        <v>1</v>
      </c>
      <c r="D14">
        <f>_xlfn.XLOOKUP(Order_Report10[[#This Row],[SKU]],SKU_Master[SKU],SKU_Master[Weight (g)],"not found")</f>
        <v>10</v>
      </c>
      <c r="E14">
        <f>Order_Report10[[#This Row],[order weight ]]*Order_Report10[[#This Row],[Order Qty]]</f>
        <v>10</v>
      </c>
      <c r="N14" s="2">
        <v>2001821190</v>
      </c>
      <c r="O14">
        <f>SUMIFS(Order_Report10[_total weight ],Order_Report10[ExternOrderNo],$N14)</f>
        <v>1200</v>
      </c>
      <c r="P14">
        <f>CEILING(Table811[[#This Row],[Total weight ]],0.5)</f>
        <v>1200</v>
      </c>
      <c r="Q14" t="str">
        <f>_xlfn.XLOOKUP(Table811[[#This Row],[Ext Order No]],Invoice[Order ID],Invoice[Zone])</f>
        <v>d</v>
      </c>
      <c r="R14" t="str">
        <f>IF(pincodes[[#Headers],[Matching status]]="matched",'(abc)pincodes'!C13,'(abc)pincodes'!C13)</f>
        <v>d</v>
      </c>
      <c r="S14" t="str">
        <f>_xlfn.XLOOKUP(Table811[[#This Row],[ABC area ]],Invoice[Zone],Invoice[Type of Shipment])</f>
        <v>Forward charges</v>
      </c>
      <c r="T14" t="s">
        <v>119</v>
      </c>
      <c r="U14">
        <f>_xlfn.XLOOKUP(Table811[[#This Row],[Ext Order No]],Invoice[Order ID],Invoice[Billing Amount (Rs.)],"not found")</f>
        <v>258.89999999999998</v>
      </c>
      <c r="V1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4">
        <f>_xlfn.XLOOKUP(Table811[[#This Row],[Ext Order No]],Invoice[Order ID],Invoice[AWB Code])</f>
        <v>1091120959015</v>
      </c>
      <c r="X14" s="4">
        <f>((Table811[[#This Row],[Courirer Price ]]-Table811[[#This Row],[Expected Price]])/Table811[[#This Row],[Expected Price]])*100</f>
        <v>470.26431718061667</v>
      </c>
      <c r="Y14" s="4" t="str">
        <f>IF(Table811[[#This Row],[%change]]&gt;0,"Over Charged",IF(Table811[[#This Row],[%change]]=0,"Perfectly Charged",IF(Table811[[#This Row],[%change]]&lt;0,"Under Charged")))</f>
        <v>Over Charged</v>
      </c>
    </row>
    <row r="15" spans="1:33" x14ac:dyDescent="0.3">
      <c r="A15">
        <v>2001823564</v>
      </c>
      <c r="B15" t="s">
        <v>54</v>
      </c>
      <c r="C15">
        <v>2</v>
      </c>
      <c r="D15">
        <f>_xlfn.XLOOKUP(Order_Report10[[#This Row],[SKU]],SKU_Master[SKU],SKU_Master[Weight (g)],"not found")</f>
        <v>112</v>
      </c>
      <c r="E15">
        <f>Order_Report10[[#This Row],[order weight ]]*Order_Report10[[#This Row],[Order Qty]]</f>
        <v>224</v>
      </c>
      <c r="N15" s="2">
        <v>2001821185</v>
      </c>
      <c r="O15">
        <f>SUMIFS(Order_Report10[_total weight ],Order_Report10[ExternOrderNo],$N15)</f>
        <v>2098</v>
      </c>
      <c r="P15">
        <f>CEILING(Table811[[#This Row],[Total weight ]],0.5)</f>
        <v>2098</v>
      </c>
      <c r="Q15" t="str">
        <f>_xlfn.XLOOKUP(Table811[[#This Row],[Ext Order No]],Invoice[Order ID],Invoice[Zone])</f>
        <v>d</v>
      </c>
      <c r="R15" t="str">
        <f>IF(pincodes[[#Headers],[Matching status]]="matched",'(abc)pincodes'!C14,'(abc)pincodes'!C14)</f>
        <v>b</v>
      </c>
      <c r="S15" t="str">
        <f>_xlfn.XLOOKUP(Table811[[#This Row],[ABC area ]],Invoice[Zone],Invoice[Type of Shipment])</f>
        <v>Forward charges</v>
      </c>
      <c r="T15" t="s">
        <v>119</v>
      </c>
      <c r="U15">
        <f>_xlfn.XLOOKUP(Table811[[#This Row],[Ext Order No]],Invoice[Order ID],Invoice[Billing Amount (Rs.)],"not found")</f>
        <v>224.6</v>
      </c>
      <c r="V1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5">
        <f>_xlfn.XLOOKUP(Table811[[#This Row],[Ext Order No]],Invoice[Order ID],Invoice[AWB Code])</f>
        <v>1091120959225</v>
      </c>
      <c r="X15" s="4">
        <f>((Table811[[#This Row],[Courirer Price ]]-Table811[[#This Row],[Expected Price]])/Table811[[#This Row],[Expected Price]])*100</f>
        <v>580.60606060606062</v>
      </c>
      <c r="Y15" s="4" t="str">
        <f>IF(Table811[[#This Row],[%change]]&gt;0,"Over Charged",IF(Table811[[#This Row],[%change]]=0,"Perfectly Charged",IF(Table811[[#This Row],[%change]]&lt;0,"Under Charged")))</f>
        <v>Over Charged</v>
      </c>
    </row>
    <row r="16" spans="1:33" x14ac:dyDescent="0.3">
      <c r="A16">
        <v>2001823564</v>
      </c>
      <c r="B16" t="s">
        <v>36</v>
      </c>
      <c r="C16">
        <v>2</v>
      </c>
      <c r="D16">
        <f>_xlfn.XLOOKUP(Order_Report10[[#This Row],[SKU]],SKU_Master[SKU],SKU_Master[Weight (g)],"not found")</f>
        <v>112</v>
      </c>
      <c r="E16">
        <f>Order_Report10[[#This Row],[order weight ]]*Order_Report10[[#This Row],[Order Qty]]</f>
        <v>224</v>
      </c>
      <c r="N16" s="2">
        <v>2001820978</v>
      </c>
      <c r="O16">
        <f>SUMIFS(Order_Report10[_total weight ],Order_Report10[ExternOrderNo],$N16)</f>
        <v>515</v>
      </c>
      <c r="P16">
        <f>CEILING(Table811[[#This Row],[Total weight ]],0.5)</f>
        <v>515</v>
      </c>
      <c r="Q16" t="str">
        <f>_xlfn.XLOOKUP(Table811[[#This Row],[Ext Order No]],Invoice[Order ID],Invoice[Zone])</f>
        <v>d</v>
      </c>
      <c r="R16" t="str">
        <f>IF(pincodes[[#Headers],[Matching status]]="matched",'(abc)pincodes'!C15,'(abc)pincodes'!C15)</f>
        <v>d</v>
      </c>
      <c r="S16" t="str">
        <f>_xlfn.XLOOKUP(Table811[[#This Row],[ABC area ]],Invoice[Zone],Invoice[Type of Shipment])</f>
        <v>Forward charges</v>
      </c>
      <c r="T16" t="s">
        <v>119</v>
      </c>
      <c r="U16">
        <f>_xlfn.XLOOKUP(Table811[[#This Row],[Ext Order No]],Invoice[Order ID],Invoice[Billing Amount (Rs.)],"not found")</f>
        <v>45.4</v>
      </c>
      <c r="V16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6">
        <f>_xlfn.XLOOKUP(Table811[[#This Row],[Ext Order No]],Invoice[Order ID],Invoice[AWB Code])</f>
        <v>1091120922803</v>
      </c>
      <c r="X16" s="4">
        <f>((Table811[[#This Row],[Courirer Price ]]-Table811[[#This Row],[Expected Price]])/Table811[[#This Row],[Expected Price]])*100</f>
        <v>0</v>
      </c>
      <c r="Y16" s="4" t="str">
        <f>IF(Table811[[#This Row],[%change]]&gt;0,"Over Charged",IF(Table811[[#This Row],[%change]]=0,"Perfectly Charged",IF(Table811[[#This Row],[%change]]&lt;0,"Under Charged")))</f>
        <v>Perfectly Charged</v>
      </c>
    </row>
    <row r="17" spans="1:25" x14ac:dyDescent="0.3">
      <c r="A17">
        <v>2001823564</v>
      </c>
      <c r="B17" t="s">
        <v>35</v>
      </c>
      <c r="C17">
        <v>2</v>
      </c>
      <c r="D17">
        <f>_xlfn.XLOOKUP(Order_Report10[[#This Row],[SKU]],SKU_Master[SKU],SKU_Master[Weight (g)],"not found")</f>
        <v>112</v>
      </c>
      <c r="E17">
        <f>Order_Report10[[#This Row],[order weight ]]*Order_Report10[[#This Row],[Order Qty]]</f>
        <v>224</v>
      </c>
      <c r="N17" s="2">
        <v>2001820690</v>
      </c>
      <c r="O17">
        <f>SUMIFS(Order_Report10[_total weight ],Order_Report10[ExternOrderNo],$N17)</f>
        <v>65</v>
      </c>
      <c r="P17">
        <f>CEILING(Table811[[#This Row],[Total weight ]],0.5)</f>
        <v>65</v>
      </c>
      <c r="Q17" t="str">
        <f>_xlfn.XLOOKUP(Table811[[#This Row],[Ext Order No]],Invoice[Order ID],Invoice[Zone])</f>
        <v>d</v>
      </c>
      <c r="R17" t="str">
        <f>IF(pincodes[[#Headers],[Matching status]]="matched",'(abc)pincodes'!C16,'(abc)pincodes'!C16)</f>
        <v>d</v>
      </c>
      <c r="S17" t="str">
        <f>_xlfn.XLOOKUP(Table811[[#This Row],[ABC area ]],Invoice[Zone],Invoice[Type of Shipment])</f>
        <v>Forward charges</v>
      </c>
      <c r="T17" t="s">
        <v>119</v>
      </c>
      <c r="U17">
        <f>_xlfn.XLOOKUP(Table811[[#This Row],[Ext Order No]],Invoice[Order ID],Invoice[Billing Amount (Rs.)],"not found")</f>
        <v>45.4</v>
      </c>
      <c r="V17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7">
        <f>_xlfn.XLOOKUP(Table811[[#This Row],[Ext Order No]],Invoice[Order ID],Invoice[AWB Code])</f>
        <v>1091121306101</v>
      </c>
      <c r="X17" s="4">
        <f>((Table811[[#This Row],[Courirer Price ]]-Table811[[#This Row],[Expected Price]])/Table811[[#This Row],[Expected Price]])*100</f>
        <v>0</v>
      </c>
      <c r="Y17" s="4" t="str">
        <f>IF(Table811[[#This Row],[%change]]&gt;0,"Over Charged",IF(Table811[[#This Row],[%change]]=0,"Perfectly Charged",IF(Table811[[#This Row],[%change]]&lt;0,"Under Charged")))</f>
        <v>Perfectly Charged</v>
      </c>
    </row>
    <row r="18" spans="1:25" x14ac:dyDescent="0.3">
      <c r="A18">
        <v>2001822466</v>
      </c>
      <c r="B18" t="s">
        <v>62</v>
      </c>
      <c r="C18">
        <v>2</v>
      </c>
      <c r="D18">
        <f>_xlfn.XLOOKUP(Order_Report10[[#This Row],[SKU]],SKU_Master[SKU],SKU_Master[Weight (g)],"not found")</f>
        <v>240</v>
      </c>
      <c r="E18">
        <f>Order_Report10[[#This Row],[order weight ]]*Order_Report10[[#This Row],[Order Qty]]</f>
        <v>480</v>
      </c>
      <c r="N18" s="1">
        <v>2001819252</v>
      </c>
      <c r="O18">
        <f>SUMIFS(Order_Report10[_total weight ],Order_Report10[ExternOrderNo],$N18)</f>
        <v>270</v>
      </c>
      <c r="P18">
        <f>CEILING(Table811[[#This Row],[Total weight ]],0.5)</f>
        <v>270</v>
      </c>
      <c r="Q18" t="str">
        <f>_xlfn.XLOOKUP(Table811[[#This Row],[Ext Order No]],Invoice[Order ID],Invoice[Zone])</f>
        <v>b</v>
      </c>
      <c r="R18" t="str">
        <f>IF(pincodes[[#Headers],[Matching status]]="matched",'(abc)pincodes'!C17,'(abc)pincodes'!C17)</f>
        <v>d</v>
      </c>
      <c r="S18" t="str">
        <f>_xlfn.XLOOKUP(Table811[[#This Row],[ABC area ]],Invoice[Zone],Invoice[Type of Shipment])</f>
        <v>Forward charges</v>
      </c>
      <c r="T18" t="s">
        <v>119</v>
      </c>
      <c r="U18">
        <f>_xlfn.XLOOKUP(Table811[[#This Row],[Ext Order No]],Invoice[Order ID],Invoice[Billing Amount (Rs.)],"not found")</f>
        <v>33</v>
      </c>
      <c r="V18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8">
        <f>_xlfn.XLOOKUP(Table811[[#This Row],[Ext Order No]],Invoice[Order ID],Invoice[AWB Code])</f>
        <v>1091120352712</v>
      </c>
      <c r="X18" s="4">
        <f>((Table811[[#This Row],[Courirer Price ]]-Table811[[#This Row],[Expected Price]])/Table811[[#This Row],[Expected Price]])*100</f>
        <v>-27.312775330396473</v>
      </c>
      <c r="Y18" s="4" t="str">
        <f>IF(Table811[[#This Row],[%change]]&gt;0,"Over Charged",IF(Table811[[#This Row],[%change]]=0,"Perfectly Charged",IF(Table811[[#This Row],[%change]]&lt;0,"Under Charged")))</f>
        <v>Under Charged</v>
      </c>
    </row>
    <row r="19" spans="1:25" x14ac:dyDescent="0.3">
      <c r="A19">
        <v>2001822466</v>
      </c>
      <c r="B19" t="s">
        <v>54</v>
      </c>
      <c r="C19">
        <v>8</v>
      </c>
      <c r="E19">
        <f>Order_Report10[[#This Row],[order weight ]]*Order_Report10[[#This Row],[Order Qty]]</f>
        <v>0</v>
      </c>
      <c r="N19" s="2">
        <v>2001818390</v>
      </c>
      <c r="O19">
        <f>SUMIFS(Order_Report10[_total weight ],Order_Report10[ExternOrderNo],$N19)</f>
        <v>841</v>
      </c>
      <c r="P19">
        <f>CEILING(Table811[[#This Row],[Total weight ]],0.5)</f>
        <v>841</v>
      </c>
      <c r="Q19" t="str">
        <f>_xlfn.XLOOKUP(Table811[[#This Row],[Ext Order No]],Invoice[Order ID],Invoice[Zone])</f>
        <v>e</v>
      </c>
      <c r="R19" t="str">
        <f>IF(pincodes[[#Headers],[Matching status]]="matched",'(abc)pincodes'!C18,'(abc)pincodes'!C18)</f>
        <v>d</v>
      </c>
      <c r="S19" t="str">
        <f>_xlfn.XLOOKUP(Table811[[#This Row],[ABC area ]],Invoice[Zone],Invoice[Type of Shipment])</f>
        <v>Forward charges</v>
      </c>
      <c r="T19" t="s">
        <v>119</v>
      </c>
      <c r="U19">
        <f>_xlfn.XLOOKUP(Table811[[#This Row],[Ext Order No]],Invoice[Order ID],Invoice[Billing Amount (Rs.)],"not found")</f>
        <v>213.5</v>
      </c>
      <c r="V19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19">
        <f>_xlfn.XLOOKUP(Table811[[#This Row],[Ext Order No]],Invoice[Order ID],Invoice[AWB Code])</f>
        <v>1091120014461</v>
      </c>
      <c r="X19" s="4">
        <f>((Table811[[#This Row],[Courirer Price ]]-Table811[[#This Row],[Expected Price]])/Table811[[#This Row],[Expected Price]])*100</f>
        <v>370.26431718061673</v>
      </c>
      <c r="Y19" s="4" t="str">
        <f>IF(Table811[[#This Row],[%change]]&gt;0,"Over Charged",IF(Table811[[#This Row],[%change]]=0,"Perfectly Charged",IF(Table811[[#This Row],[%change]]&lt;0,"Under Charged")))</f>
        <v>Over Charged</v>
      </c>
    </row>
    <row r="20" spans="1:25" x14ac:dyDescent="0.3">
      <c r="A20">
        <v>2001821995</v>
      </c>
      <c r="B20" t="s">
        <v>44</v>
      </c>
      <c r="C20">
        <v>1</v>
      </c>
      <c r="D20">
        <f>_xlfn.XLOOKUP(Order_Report10[[#This Row],[SKU]],SKU_Master[SKU],SKU_Master[Weight (g)],"not found")</f>
        <v>350</v>
      </c>
      <c r="E20">
        <f>Order_Report10[[#This Row],[order weight ]]*Order_Report10[[#This Row],[Order Qty]]</f>
        <v>350</v>
      </c>
      <c r="N20" s="1">
        <v>2001817160</v>
      </c>
      <c r="O20">
        <f>SUMIFS(Order_Report10[_total weight ],Order_Report10[ExternOrderNo],$N20)</f>
        <v>700</v>
      </c>
      <c r="P20">
        <f>CEILING(Table811[[#This Row],[Total weight ]],0.5)</f>
        <v>700</v>
      </c>
      <c r="Q20" t="str">
        <f>_xlfn.XLOOKUP(Table811[[#This Row],[Ext Order No]],Invoice[Order ID],Invoice[Zone])</f>
        <v>d</v>
      </c>
      <c r="R20" t="str">
        <f>IF(pincodes[[#Headers],[Matching status]]="matched",'(abc)pincodes'!C19,'(abc)pincodes'!C19)</f>
        <v>e</v>
      </c>
      <c r="S20" t="str">
        <f>_xlfn.XLOOKUP(Table811[[#This Row],[ABC area ]],Invoice[Zone],Invoice[Type of Shipment])</f>
        <v>Forward and RTO charges</v>
      </c>
      <c r="T20" t="s">
        <v>119</v>
      </c>
      <c r="U20">
        <f>_xlfn.XLOOKUP(Table811[[#This Row],[Ext Order No]],Invoice[Order ID],Invoice[Billing Amount (Rs.)],"not found")</f>
        <v>172.8</v>
      </c>
      <c r="V20">
        <f>56.6+50.7</f>
        <v>107.30000000000001</v>
      </c>
      <c r="W20">
        <f>_xlfn.XLOOKUP(Table811[[#This Row],[Ext Order No]],Invoice[Order ID],Invoice[AWB Code])</f>
        <v>1091119630264</v>
      </c>
      <c r="X20" s="4">
        <f>((Table811[[#This Row],[Courirer Price ]]-Table811[[#This Row],[Expected Price]])/Table811[[#This Row],[Expected Price]])*100</f>
        <v>61.043802423112759</v>
      </c>
      <c r="Y20" s="4" t="str">
        <f>IF(Table811[[#This Row],[%change]]&gt;0,"Over Charged",IF(Table811[[#This Row],[%change]]=0,"Perfectly Charged",IF(Table811[[#This Row],[%change]]&lt;0,"Under Charged")))</f>
        <v>Over Charged</v>
      </c>
    </row>
    <row r="21" spans="1:25" x14ac:dyDescent="0.3">
      <c r="A21">
        <v>2001821995</v>
      </c>
      <c r="B21" t="s">
        <v>25</v>
      </c>
      <c r="C21">
        <v>1</v>
      </c>
      <c r="D21">
        <f>_xlfn.XLOOKUP(Order_Report10[[#This Row],[SKU]],SKU_Master[SKU],SKU_Master[Weight (g)],"not found")</f>
        <v>127</v>
      </c>
      <c r="E21">
        <f>Order_Report10[[#This Row],[order weight ]]*Order_Report10[[#This Row],[Order Qty]]</f>
        <v>127</v>
      </c>
      <c r="N21" s="1">
        <v>2001817093</v>
      </c>
      <c r="O21">
        <f>SUMIFS(Order_Report10[_total weight ],Order_Report10[ExternOrderNo],$N21)</f>
        <v>1357</v>
      </c>
      <c r="P21">
        <f>CEILING(Table811[[#This Row],[Total weight ]],0.5)</f>
        <v>1357</v>
      </c>
      <c r="Q21" t="str">
        <f>_xlfn.XLOOKUP(Table811[[#This Row],[Ext Order No]],Invoice[Order ID],Invoice[Zone])</f>
        <v>b</v>
      </c>
      <c r="R21" t="str">
        <f>IF(pincodes[[#Headers],[Matching status]]="matched",'(abc)pincodes'!C20,'(abc)pincodes'!C20)</f>
        <v>b</v>
      </c>
      <c r="S21" t="str">
        <f>_xlfn.XLOOKUP(Table811[[#This Row],[ABC area ]],Invoice[Zone],Invoice[Type of Shipment])</f>
        <v>Forward charges</v>
      </c>
      <c r="T21" t="s">
        <v>119</v>
      </c>
      <c r="U21">
        <f>_xlfn.XLOOKUP(Table811[[#This Row],[Ext Order No]],Invoice[Order ID],Invoice[Billing Amount (Rs.)],"not found")</f>
        <v>151.1</v>
      </c>
      <c r="V2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21">
        <f>_xlfn.XLOOKUP(Table811[[#This Row],[Ext Order No]],Invoice[Order ID],Invoice[AWB Code])</f>
        <v>1091121485824</v>
      </c>
      <c r="X21" s="4">
        <f>((Table811[[#This Row],[Courirer Price ]]-Table811[[#This Row],[Expected Price]])/Table811[[#This Row],[Expected Price]])*100</f>
        <v>357.87878787878788</v>
      </c>
      <c r="Y21" s="4" t="str">
        <f>IF(Table811[[#This Row],[%change]]&gt;0,"Over Charged",IF(Table811[[#This Row],[%change]]=0,"Perfectly Charged",IF(Table811[[#This Row],[%change]]&lt;0,"Under Charged")))</f>
        <v>Over Charged</v>
      </c>
    </row>
    <row r="22" spans="1:25" x14ac:dyDescent="0.3">
      <c r="A22">
        <v>2001821766</v>
      </c>
      <c r="B22" t="s">
        <v>19</v>
      </c>
      <c r="C22">
        <v>2</v>
      </c>
      <c r="D22">
        <f>_xlfn.XLOOKUP(Order_Report10[[#This Row],[SKU]],SKU_Master[SKU],SKU_Master[Weight (g)],"not found")</f>
        <v>120</v>
      </c>
      <c r="E22">
        <f>Order_Report10[[#This Row],[order weight ]]*Order_Report10[[#This Row],[Order Qty]]</f>
        <v>240</v>
      </c>
      <c r="N22" s="1">
        <v>2001816996</v>
      </c>
      <c r="O22">
        <f>SUMIFS(Order_Report10[_total weight ],Order_Report10[ExternOrderNo],$N22)</f>
        <v>500</v>
      </c>
      <c r="P22">
        <f>CEILING(Table811[[#This Row],[Total weight ]],0.5)</f>
        <v>500</v>
      </c>
      <c r="Q22" t="str">
        <f>_xlfn.XLOOKUP(Table811[[#This Row],[Ext Order No]],Invoice[Order ID],Invoice[Zone])</f>
        <v>d</v>
      </c>
      <c r="R22" t="str">
        <f>IF(pincodes[[#Headers],[Matching status]]="matched",'(abc)pincodes'!C21,'(abc)pincodes'!C21)</f>
        <v>d</v>
      </c>
      <c r="S22" t="str">
        <f>_xlfn.XLOOKUP(Table811[[#This Row],[ABC area ]],Invoice[Zone],Invoice[Type of Shipment])</f>
        <v>Forward charges</v>
      </c>
      <c r="T22" t="s">
        <v>119</v>
      </c>
      <c r="U22">
        <f>_xlfn.XLOOKUP(Table811[[#This Row],[Ext Order No]],Invoice[Order ID],Invoice[Billing Amount (Rs.)],"not found")</f>
        <v>45.4</v>
      </c>
      <c r="V22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22">
        <f>_xlfn.XLOOKUP(Table811[[#This Row],[Ext Order No]],Invoice[Order ID],Invoice[AWB Code])</f>
        <v>1091119429202</v>
      </c>
      <c r="X22" s="4">
        <f>((Table811[[#This Row],[Courirer Price ]]-Table811[[#This Row],[Expected Price]])/Table811[[#This Row],[Expected Price]])*100</f>
        <v>0</v>
      </c>
      <c r="Y22" s="4" t="str">
        <f>IF(Table811[[#This Row],[%change]]&gt;0,"Over Charged",IF(Table811[[#This Row],[%change]]=0,"Perfectly Charged",IF(Table811[[#This Row],[%change]]&lt;0,"Under Charged")))</f>
        <v>Perfectly Charged</v>
      </c>
    </row>
    <row r="23" spans="1:25" x14ac:dyDescent="0.3">
      <c r="A23">
        <v>2001821750</v>
      </c>
      <c r="B23" t="s">
        <v>30</v>
      </c>
      <c r="C23">
        <v>1</v>
      </c>
      <c r="D23">
        <f>_xlfn.XLOOKUP(Order_Report10[[#This Row],[SKU]],SKU_Master[SKU],SKU_Master[Weight (g)],"not found")</f>
        <v>240</v>
      </c>
      <c r="E23">
        <f>Order_Report10[[#This Row],[order weight ]]*Order_Report10[[#This Row],[Order Qty]]</f>
        <v>240</v>
      </c>
      <c r="N23" s="2">
        <v>2001816684</v>
      </c>
      <c r="O23">
        <f>SUMIFS(Order_Report10[_total weight ],Order_Report10[ExternOrderNo],$N23)</f>
        <v>920</v>
      </c>
      <c r="P23">
        <f>CEILING(Table811[[#This Row],[Total weight ]],0.5)</f>
        <v>920</v>
      </c>
      <c r="Q23" t="str">
        <f>_xlfn.XLOOKUP(Table811[[#This Row],[Ext Order No]],Invoice[Order ID],Invoice[Zone])</f>
        <v>d</v>
      </c>
      <c r="R23" t="str">
        <f>IF(pincodes[[#Headers],[Matching status]]="matched",'(abc)pincodes'!C22,'(abc)pincodes'!C22)</f>
        <v>b</v>
      </c>
      <c r="S23" t="str">
        <f>_xlfn.XLOOKUP(Table811[[#This Row],[ABC area ]],Invoice[Zone],Invoice[Type of Shipment])</f>
        <v>Forward charges</v>
      </c>
      <c r="T23" t="s">
        <v>119</v>
      </c>
      <c r="U23">
        <f>_xlfn.XLOOKUP(Table811[[#This Row],[Ext Order No]],Invoice[Order ID],Invoice[Billing Amount (Rs.)],"not found")</f>
        <v>172.8</v>
      </c>
      <c r="V2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23">
        <f>_xlfn.XLOOKUP(Table811[[#This Row],[Ext Order No]],Invoice[Order ID],Invoice[AWB Code])</f>
        <v>1091119398844</v>
      </c>
      <c r="X23" s="4">
        <f>((Table811[[#This Row],[Courirer Price ]]-Table811[[#This Row],[Expected Price]])/Table811[[#This Row],[Expected Price]])*100</f>
        <v>423.63636363636363</v>
      </c>
      <c r="Y23" s="4" t="str">
        <f>IF(Table811[[#This Row],[%change]]&gt;0,"Over Charged",IF(Table811[[#This Row],[%change]]=0,"Perfectly Charged",IF(Table811[[#This Row],[%change]]&lt;0,"Under Charged")))</f>
        <v>Over Charged</v>
      </c>
    </row>
    <row r="24" spans="1:25" x14ac:dyDescent="0.3">
      <c r="A24">
        <v>2001821750</v>
      </c>
      <c r="B24" t="s">
        <v>15</v>
      </c>
      <c r="C24">
        <v>1</v>
      </c>
      <c r="D24">
        <f>_xlfn.XLOOKUP(Order_Report10[[#This Row],[SKU]],SKU_Master[SKU],SKU_Master[Weight (g)],"not found")</f>
        <v>165</v>
      </c>
      <c r="E24">
        <f>Order_Report10[[#This Row],[order weight ]]*Order_Report10[[#This Row],[Order Qty]]</f>
        <v>165</v>
      </c>
      <c r="N24" s="1">
        <v>2001816131</v>
      </c>
      <c r="O24">
        <f>SUMIFS(Order_Report10[_total weight ],Order_Report10[ExternOrderNo],$N24)</f>
        <v>554</v>
      </c>
      <c r="P24">
        <f>CEILING(Table811[[#This Row],[Total weight ]],0.5)</f>
        <v>554</v>
      </c>
      <c r="Q24" t="str">
        <f>_xlfn.XLOOKUP(Table811[[#This Row],[Ext Order No]],Invoice[Order ID],Invoice[Zone])</f>
        <v>d</v>
      </c>
      <c r="R24" t="str">
        <f>IF(pincodes[[#Headers],[Matching status]]="matched",'(abc)pincodes'!C23,'(abc)pincodes'!C23)</f>
        <v>d</v>
      </c>
      <c r="S24" t="str">
        <f>_xlfn.XLOOKUP(Table811[[#This Row],[ABC area ]],Invoice[Zone],Invoice[Type of Shipment])</f>
        <v>Forward charges</v>
      </c>
      <c r="T24" t="s">
        <v>119</v>
      </c>
      <c r="U24">
        <f>_xlfn.XLOOKUP(Table811[[#This Row],[Ext Order No]],Invoice[Order ID],Invoice[Billing Amount (Rs.)],"not found")</f>
        <v>90.2</v>
      </c>
      <c r="V2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24">
        <f>_xlfn.XLOOKUP(Table811[[#This Row],[Ext Order No]],Invoice[Order ID],Invoice[AWB Code])</f>
        <v>1091119367193</v>
      </c>
      <c r="X24" s="4">
        <f>((Table811[[#This Row],[Courirer Price ]]-Table811[[#This Row],[Expected Price]])/Table811[[#This Row],[Expected Price]])*100</f>
        <v>98.678414096916313</v>
      </c>
      <c r="Y24" s="4" t="str">
        <f>IF(Table811[[#This Row],[%change]]&gt;0,"Over Charged",IF(Table811[[#This Row],[%change]]=0,"Perfectly Charged",IF(Table811[[#This Row],[%change]]&lt;0,"Under Charged")))</f>
        <v>Over Charged</v>
      </c>
    </row>
    <row r="25" spans="1:25" x14ac:dyDescent="0.3">
      <c r="A25">
        <v>2001821750</v>
      </c>
      <c r="B25" t="s">
        <v>44</v>
      </c>
      <c r="C25">
        <v>1</v>
      </c>
      <c r="D25">
        <f>_xlfn.XLOOKUP(Order_Report10[[#This Row],[SKU]],SKU_Master[SKU],SKU_Master[Weight (g)],"not found")</f>
        <v>350</v>
      </c>
      <c r="E25">
        <f>Order_Report10[[#This Row],[order weight ]]*Order_Report10[[#This Row],[Order Qty]]</f>
        <v>350</v>
      </c>
      <c r="N25" s="1">
        <v>2001815688</v>
      </c>
      <c r="O25">
        <f>SUMIFS(Order_Report10[_total weight ],Order_Report10[ExternOrderNo],$N25)</f>
        <v>220</v>
      </c>
      <c r="P25">
        <f>CEILING(Table811[[#This Row],[Total weight ]],0.5)</f>
        <v>220</v>
      </c>
      <c r="Q25" t="str">
        <f>_xlfn.XLOOKUP(Table811[[#This Row],[Ext Order No]],Invoice[Order ID],Invoice[Zone])</f>
        <v>d</v>
      </c>
      <c r="R25" t="str">
        <f>IF(pincodes[[#Headers],[Matching status]]="matched",'(abc)pincodes'!C24,'(abc)pincodes'!C24)</f>
        <v>b</v>
      </c>
      <c r="S25" t="str">
        <f>_xlfn.XLOOKUP(Table811[[#This Row],[ABC area ]],Invoice[Zone],Invoice[Type of Shipment])</f>
        <v>Forward charges</v>
      </c>
      <c r="T25" t="s">
        <v>119</v>
      </c>
      <c r="U25">
        <f>_xlfn.XLOOKUP(Table811[[#This Row],[Ext Order No]],Invoice[Order ID],Invoice[Billing Amount (Rs.)],"not found")</f>
        <v>45.4</v>
      </c>
      <c r="V2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25">
        <f>_xlfn.XLOOKUP(Table811[[#This Row],[Ext Order No]],Invoice[Order ID],Invoice[AWB Code])</f>
        <v>1091119169701</v>
      </c>
      <c r="X25" s="4">
        <f>((Table811[[#This Row],[Courirer Price ]]-Table811[[#This Row],[Expected Price]])/Table811[[#This Row],[Expected Price]])*100</f>
        <v>37.575757575757571</v>
      </c>
      <c r="Y25" s="4" t="str">
        <f>IF(Table811[[#This Row],[%change]]&gt;0,"Over Charged",IF(Table811[[#This Row],[%change]]=0,"Perfectly Charged",IF(Table811[[#This Row],[%change]]&lt;0,"Under Charged")))</f>
        <v>Over Charged</v>
      </c>
    </row>
    <row r="26" spans="1:25" x14ac:dyDescent="0.3">
      <c r="A26">
        <v>2001821742</v>
      </c>
      <c r="B26" t="s">
        <v>62</v>
      </c>
      <c r="C26">
        <v>1</v>
      </c>
      <c r="D26">
        <f>_xlfn.XLOOKUP(Order_Report10[[#This Row],[SKU]],SKU_Master[SKU],SKU_Master[Weight (g)],"not found")</f>
        <v>240</v>
      </c>
      <c r="E26">
        <f>Order_Report10[[#This Row],[order weight ]]*Order_Report10[[#This Row],[Order Qty]]</f>
        <v>240</v>
      </c>
      <c r="N26" s="1">
        <v>2001814580</v>
      </c>
      <c r="O26">
        <f>SUMIFS(Order_Report10[_total weight ],Order_Report10[ExternOrderNo],$N26)</f>
        <v>127</v>
      </c>
      <c r="P26">
        <f>CEILING(Table811[[#This Row],[Total weight ]],0.5)</f>
        <v>127</v>
      </c>
      <c r="Q26" t="str">
        <f>_xlfn.XLOOKUP(Table811[[#This Row],[Ext Order No]],Invoice[Order ID],Invoice[Zone])</f>
        <v>d</v>
      </c>
      <c r="R26" t="str">
        <f>IF(pincodes[[#Headers],[Matching status]]="matched",'(abc)pincodes'!C25,'(abc)pincodes'!C25)</f>
        <v>d</v>
      </c>
      <c r="S26" t="str">
        <f>_xlfn.XLOOKUP(Table811[[#This Row],[ABC area ]],Invoice[Zone],Invoice[Type of Shipment])</f>
        <v>Forward charges</v>
      </c>
      <c r="T26" t="s">
        <v>119</v>
      </c>
      <c r="U26">
        <f>_xlfn.XLOOKUP(Table811[[#This Row],[Ext Order No]],Invoice[Order ID],Invoice[Billing Amount (Rs.)],"not found")</f>
        <v>86.7</v>
      </c>
      <c r="V26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26">
        <f>_xlfn.XLOOKUP(Table811[[#This Row],[Ext Order No]],Invoice[Order ID],Invoice[AWB Code])</f>
        <v>1091118925110</v>
      </c>
      <c r="X26" s="4">
        <f>((Table811[[#This Row],[Courirer Price ]]-Table811[[#This Row],[Expected Price]])/Table811[[#This Row],[Expected Price]])*100</f>
        <v>90.969162995594715</v>
      </c>
      <c r="Y26" s="4" t="str">
        <f>IF(Table811[[#This Row],[%change]]&gt;0,"Over Charged",IF(Table811[[#This Row],[%change]]=0,"Perfectly Charged",IF(Table811[[#This Row],[%change]]&lt;0,"Under Charged")))</f>
        <v>Over Charged</v>
      </c>
    </row>
    <row r="27" spans="1:25" x14ac:dyDescent="0.3">
      <c r="A27">
        <v>2001821679</v>
      </c>
      <c r="B27" t="s">
        <v>15</v>
      </c>
      <c r="C27">
        <v>1</v>
      </c>
      <c r="D27">
        <f>_xlfn.XLOOKUP(Order_Report10[[#This Row],[SKU]],SKU_Master[SKU],SKU_Master[Weight (g)],"not found")</f>
        <v>165</v>
      </c>
      <c r="E27">
        <f>Order_Report10[[#This Row],[order weight ]]*Order_Report10[[#This Row],[Order Qty]]</f>
        <v>165</v>
      </c>
      <c r="N27" s="2">
        <v>2001813009</v>
      </c>
      <c r="O27">
        <f>SUMIFS(Order_Report10[_total weight ],Order_Report10[ExternOrderNo],$N27)</f>
        <v>720</v>
      </c>
      <c r="P27">
        <f>CEILING(Table811[[#This Row],[Total weight ]],0.5)</f>
        <v>720</v>
      </c>
      <c r="Q27" t="str">
        <f>_xlfn.XLOOKUP(Table811[[#This Row],[Ext Order No]],Invoice[Order ID],Invoice[Zone])</f>
        <v>d</v>
      </c>
      <c r="R27" t="str">
        <f>IF(pincodes[[#Headers],[Matching status]]="matched",'(abc)pincodes'!C26,'(abc)pincodes'!C26)</f>
        <v>d</v>
      </c>
      <c r="S27" t="str">
        <f>_xlfn.XLOOKUP(Table811[[#This Row],[ABC area ]],Invoice[Zone],Invoice[Type of Shipment])</f>
        <v>Forward charges</v>
      </c>
      <c r="T27" t="s">
        <v>119</v>
      </c>
      <c r="U27">
        <f>_xlfn.XLOOKUP(Table811[[#This Row],[Ext Order No]],Invoice[Order ID],Invoice[Billing Amount (Rs.)],"not found")</f>
        <v>90.2</v>
      </c>
      <c r="V27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27">
        <f>_xlfn.XLOOKUP(Table811[[#This Row],[Ext Order No]],Invoice[Order ID],Invoice[AWB Code])</f>
        <v>1091118553701</v>
      </c>
      <c r="X27" s="4">
        <f>((Table811[[#This Row],[Courirer Price ]]-Table811[[#This Row],[Expected Price]])/Table811[[#This Row],[Expected Price]])*100</f>
        <v>98.678414096916313</v>
      </c>
      <c r="Y27" s="4" t="str">
        <f>IF(Table811[[#This Row],[%change]]&gt;0,"Over Charged",IF(Table811[[#This Row],[%change]]=0,"Perfectly Charged",IF(Table811[[#This Row],[%change]]&lt;0,"Under Charged")))</f>
        <v>Over Charged</v>
      </c>
    </row>
    <row r="28" spans="1:25" x14ac:dyDescent="0.3">
      <c r="A28">
        <v>2001821502</v>
      </c>
      <c r="B28" t="s">
        <v>37</v>
      </c>
      <c r="C28">
        <v>1</v>
      </c>
      <c r="D28">
        <f>_xlfn.XLOOKUP(Order_Report10[[#This Row],[SKU]],SKU_Master[SKU],SKU_Master[Weight (g)],"not found")</f>
        <v>110</v>
      </c>
      <c r="E28">
        <f>Order_Report10[[#This Row],[order weight ]]*Order_Report10[[#This Row],[Order Qty]]</f>
        <v>110</v>
      </c>
      <c r="N28" s="1">
        <v>2001812941</v>
      </c>
      <c r="O28">
        <f>SUMIFS(Order_Report10[_total weight ],Order_Report10[ExternOrderNo],$N28)</f>
        <v>500</v>
      </c>
      <c r="P28">
        <f>CEILING(Table811[[#This Row],[Total weight ]],0.5)</f>
        <v>500</v>
      </c>
      <c r="Q28" t="str">
        <f>_xlfn.XLOOKUP(Table811[[#This Row],[Ext Order No]],Invoice[Order ID],Invoice[Zone])</f>
        <v>d</v>
      </c>
      <c r="R28" t="str">
        <f>IF(pincodes[[#Headers],[Matching status]]="matched",'(abc)pincodes'!C27,'(abc)pincodes'!C27)</f>
        <v>e</v>
      </c>
      <c r="S28" t="str">
        <f>_xlfn.XLOOKUP(Table811[[#This Row],[ABC area ]],Invoice[Zone],Invoice[Type of Shipment])</f>
        <v>Forward and RTO charges</v>
      </c>
      <c r="T28" t="s">
        <v>119</v>
      </c>
      <c r="U28">
        <f>_xlfn.XLOOKUP(Table811[[#This Row],[Ext Order No]],Invoice[Order ID],Invoice[Billing Amount (Rs.)],"not found")</f>
        <v>90.2</v>
      </c>
      <c r="V28">
        <v>107.3</v>
      </c>
      <c r="W28">
        <f>_xlfn.XLOOKUP(Table811[[#This Row],[Ext Order No]],Invoice[Order ID],Invoice[AWB Code])</f>
        <v>1091118551656</v>
      </c>
      <c r="X28" s="4">
        <f>((Table811[[#This Row],[Courirer Price ]]-Table811[[#This Row],[Expected Price]])/Table811[[#This Row],[Expected Price]])*100</f>
        <v>-15.936626281453863</v>
      </c>
      <c r="Y28" s="4" t="str">
        <f>IF(Table811[[#This Row],[%change]]&gt;0,"Over Charged",IF(Table811[[#This Row],[%change]]=0,"Perfectly Charged",IF(Table811[[#This Row],[%change]]&lt;0,"Under Charged")))</f>
        <v>Under Charged</v>
      </c>
    </row>
    <row r="29" spans="1:25" x14ac:dyDescent="0.3">
      <c r="A29">
        <v>2001821502</v>
      </c>
      <c r="B29" t="s">
        <v>36</v>
      </c>
      <c r="C29">
        <v>2</v>
      </c>
      <c r="D29">
        <f>_xlfn.XLOOKUP(Order_Report10[[#This Row],[SKU]],SKU_Master[SKU],SKU_Master[Weight (g)],"not found")</f>
        <v>112</v>
      </c>
      <c r="E29">
        <f>Order_Report10[[#This Row],[order weight ]]*Order_Report10[[#This Row],[Order Qty]]</f>
        <v>224</v>
      </c>
      <c r="N29" s="2">
        <v>2001812854</v>
      </c>
      <c r="O29">
        <f>SUMIFS(Order_Report10[_total weight ],Order_Report10[ExternOrderNo],$N29)</f>
        <v>2572</v>
      </c>
      <c r="P29">
        <f>CEILING(Table811[[#This Row],[Total weight ]],0.5)</f>
        <v>2572</v>
      </c>
      <c r="Q29" t="str">
        <f>_xlfn.XLOOKUP(Table811[[#This Row],[Ext Order No]],Invoice[Order ID],Invoice[Zone])</f>
        <v>d</v>
      </c>
      <c r="R29" t="str">
        <f>IF(pincodes[[#Headers],[Matching status]]="matched",'(abc)pincodes'!C28,'(abc)pincodes'!C28)</f>
        <v>d</v>
      </c>
      <c r="S29" t="str">
        <f>_xlfn.XLOOKUP(Table811[[#This Row],[ABC area ]],Invoice[Zone],Invoice[Type of Shipment])</f>
        <v>Forward charges</v>
      </c>
      <c r="T29" t="s">
        <v>119</v>
      </c>
      <c r="U29">
        <f>_xlfn.XLOOKUP(Table811[[#This Row],[Ext Order No]],Invoice[Order ID],Invoice[Billing Amount (Rs.)],"not found")</f>
        <v>269.39999999999998</v>
      </c>
      <c r="V29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29">
        <f>_xlfn.XLOOKUP(Table811[[#This Row],[Ext Order No]],Invoice[Order ID],Invoice[AWB Code])</f>
        <v>1091118548333</v>
      </c>
      <c r="X29" s="4">
        <f>((Table811[[#This Row],[Courirer Price ]]-Table811[[#This Row],[Expected Price]])/Table811[[#This Row],[Expected Price]])*100</f>
        <v>493.39207048458144</v>
      </c>
      <c r="Y29" s="4" t="str">
        <f>IF(Table811[[#This Row],[%change]]&gt;0,"Over Charged",IF(Table811[[#This Row],[%change]]=0,"Perfectly Charged",IF(Table811[[#This Row],[%change]]&lt;0,"Under Charged")))</f>
        <v>Over Charged</v>
      </c>
    </row>
    <row r="30" spans="1:25" x14ac:dyDescent="0.3">
      <c r="A30">
        <v>2001821502</v>
      </c>
      <c r="B30" t="s">
        <v>35</v>
      </c>
      <c r="C30">
        <v>2</v>
      </c>
      <c r="D30">
        <f>_xlfn.XLOOKUP(Order_Report10[[#This Row],[SKU]],SKU_Master[SKU],SKU_Master[Weight (g)],"not found")</f>
        <v>112</v>
      </c>
      <c r="E30">
        <f>Order_Report10[[#This Row],[order weight ]]*Order_Report10[[#This Row],[Order Qty]]</f>
        <v>224</v>
      </c>
      <c r="N30" s="2">
        <v>2001812838</v>
      </c>
      <c r="O30">
        <f>SUMIFS(Order_Report10[_total weight ],Order_Report10[ExternOrderNo],$N30)</f>
        <v>558</v>
      </c>
      <c r="P30">
        <f>CEILING(Table811[[#This Row],[Total weight ]],0.5)</f>
        <v>558</v>
      </c>
      <c r="Q30" t="str">
        <f>_xlfn.XLOOKUP(Table811[[#This Row],[Ext Order No]],Invoice[Order ID],Invoice[Zone])</f>
        <v>b</v>
      </c>
      <c r="R30" t="str">
        <f>IF(pincodes[[#Headers],[Matching status]]="matched",'(abc)pincodes'!C29,'(abc)pincodes'!C29)</f>
        <v>b</v>
      </c>
      <c r="S30" t="str">
        <f>_xlfn.XLOOKUP(Table811[[#This Row],[ABC area ]],Invoice[Zone],Invoice[Type of Shipment])</f>
        <v>Forward charges</v>
      </c>
      <c r="T30" t="s">
        <v>119</v>
      </c>
      <c r="U30">
        <f>_xlfn.XLOOKUP(Table811[[#This Row],[Ext Order No]],Invoice[Order ID],Invoice[Billing Amount (Rs.)],"not found")</f>
        <v>102.3</v>
      </c>
      <c r="V3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30">
        <f>_xlfn.XLOOKUP(Table811[[#This Row],[Ext Order No]],Invoice[Order ID],Invoice[AWB Code])</f>
        <v>1091118547832</v>
      </c>
      <c r="X30" s="4">
        <f>((Table811[[#This Row],[Courirer Price ]]-Table811[[#This Row],[Expected Price]])/Table811[[#This Row],[Expected Price]])*100</f>
        <v>210</v>
      </c>
      <c r="Y30" s="4" t="str">
        <f>IF(Table811[[#This Row],[%change]]&gt;0,"Over Charged",IF(Table811[[#This Row],[%change]]=0,"Perfectly Charged",IF(Table811[[#This Row],[%change]]&lt;0,"Under Charged")))</f>
        <v>Over Charged</v>
      </c>
    </row>
    <row r="31" spans="1:25" x14ac:dyDescent="0.3">
      <c r="A31">
        <v>2001821284</v>
      </c>
      <c r="B31" t="s">
        <v>20</v>
      </c>
      <c r="C31">
        <v>1</v>
      </c>
      <c r="D31">
        <f>_xlfn.XLOOKUP(Order_Report10[[#This Row],[SKU]],SKU_Master[SKU],SKU_Master[Weight (g)],"not found")</f>
        <v>65</v>
      </c>
      <c r="E31">
        <f>Order_Report10[[#This Row],[order weight ]]*Order_Report10[[#This Row],[Order Qty]]</f>
        <v>65</v>
      </c>
      <c r="N31" s="2">
        <v>2001812650</v>
      </c>
      <c r="O31">
        <f>SUMIFS(Order_Report10[_total weight ],Order_Report10[ExternOrderNo],$N31)</f>
        <v>563</v>
      </c>
      <c r="P31">
        <f>CEILING(Table811[[#This Row],[Total weight ]],0.5)</f>
        <v>563</v>
      </c>
      <c r="Q31" t="str">
        <f>_xlfn.XLOOKUP(Table811[[#This Row],[Ext Order No]],Invoice[Order ID],Invoice[Zone])</f>
        <v>d</v>
      </c>
      <c r="R31" t="str">
        <f>IF(pincodes[[#Headers],[Matching status]]="matched",'(abc)pincodes'!C30,'(abc)pincodes'!C30)</f>
        <v>d</v>
      </c>
      <c r="S31" t="str">
        <f>_xlfn.XLOOKUP(Table811[[#This Row],[ABC area ]],Invoice[Zone],Invoice[Type of Shipment])</f>
        <v>Forward charges</v>
      </c>
      <c r="T31" t="s">
        <v>119</v>
      </c>
      <c r="U31">
        <f>_xlfn.XLOOKUP(Table811[[#This Row],[Ext Order No]],Invoice[Order ID],Invoice[Billing Amount (Rs.)],"not found")</f>
        <v>90.2</v>
      </c>
      <c r="V31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1">
        <f>_xlfn.XLOOKUP(Table811[[#This Row],[Ext Order No]],Invoice[Order ID],Invoice[AWB Code])</f>
        <v>1091118591534</v>
      </c>
      <c r="X31" s="4">
        <f>((Table811[[#This Row],[Courirer Price ]]-Table811[[#This Row],[Expected Price]])/Table811[[#This Row],[Expected Price]])*100</f>
        <v>98.678414096916313</v>
      </c>
      <c r="Y31" s="4" t="str">
        <f>IF(Table811[[#This Row],[%change]]&gt;0,"Over Charged",IF(Table811[[#This Row],[%change]]=0,"Perfectly Charged",IF(Table811[[#This Row],[%change]]&lt;0,"Under Charged")))</f>
        <v>Over Charged</v>
      </c>
    </row>
    <row r="32" spans="1:25" x14ac:dyDescent="0.3">
      <c r="A32">
        <v>2001821284</v>
      </c>
      <c r="B32" t="s">
        <v>35</v>
      </c>
      <c r="C32">
        <v>1</v>
      </c>
      <c r="D32">
        <f>_xlfn.XLOOKUP(Order_Report10[[#This Row],[SKU]],SKU_Master[SKU],SKU_Master[Weight (g)],"not found")</f>
        <v>112</v>
      </c>
      <c r="E32">
        <f>Order_Report10[[#This Row],[order weight ]]*Order_Report10[[#This Row],[Order Qty]]</f>
        <v>112</v>
      </c>
      <c r="N32" s="2">
        <v>2001812195</v>
      </c>
      <c r="O32">
        <f>SUMIFS(Order_Report10[_total weight ],Order_Report10[ExternOrderNo],$N32)</f>
        <v>500</v>
      </c>
      <c r="P32">
        <f>CEILING(Table811[[#This Row],[Total weight ]],0.5)</f>
        <v>500</v>
      </c>
      <c r="Q32" t="str">
        <f>_xlfn.XLOOKUP(Table811[[#This Row],[Ext Order No]],Invoice[Order ID],Invoice[Zone])</f>
        <v>d</v>
      </c>
      <c r="R32" t="str">
        <f>IF(pincodes[[#Headers],[Matching status]]="matched",'(abc)pincodes'!C31,'(abc)pincodes'!C31)</f>
        <v>d</v>
      </c>
      <c r="S32" t="str">
        <f>_xlfn.XLOOKUP(Table811[[#This Row],[ABC area ]],Invoice[Zone],Invoice[Type of Shipment])</f>
        <v>Forward charges</v>
      </c>
      <c r="T32" t="s">
        <v>119</v>
      </c>
      <c r="U32">
        <f>_xlfn.XLOOKUP(Table811[[#This Row],[Ext Order No]],Invoice[Order ID],Invoice[Billing Amount (Rs.)],"not found")</f>
        <v>90.2</v>
      </c>
      <c r="V32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2">
        <f>_xlfn.XLOOKUP(Table811[[#This Row],[Ext Order No]],Invoice[Order ID],Invoice[AWB Code])</f>
        <v>1091118442390</v>
      </c>
      <c r="X32" s="4">
        <f>((Table811[[#This Row],[Courirer Price ]]-Table811[[#This Row],[Expected Price]])/Table811[[#This Row],[Expected Price]])*100</f>
        <v>98.678414096916313</v>
      </c>
      <c r="Y32" s="4" t="str">
        <f>IF(Table811[[#This Row],[%change]]&gt;0,"Over Charged",IF(Table811[[#This Row],[%change]]=0,"Perfectly Charged",IF(Table811[[#This Row],[%change]]&lt;0,"Under Charged")))</f>
        <v>Over Charged</v>
      </c>
    </row>
    <row r="33" spans="1:25" x14ac:dyDescent="0.3">
      <c r="A33">
        <v>2001821190</v>
      </c>
      <c r="B33" t="s">
        <v>64</v>
      </c>
      <c r="C33">
        <v>1</v>
      </c>
      <c r="D33">
        <f>_xlfn.XLOOKUP(Order_Report10[[#This Row],[SKU]],SKU_Master[SKU],SKU_Master[Weight (g)],"not found")</f>
        <v>600</v>
      </c>
      <c r="E33">
        <f>Order_Report10[[#This Row],[order weight ]]*Order_Report10[[#This Row],[Order Qty]]</f>
        <v>600</v>
      </c>
      <c r="N33" s="1">
        <v>2001811809</v>
      </c>
      <c r="O33">
        <f>SUMIFS(Order_Report10[_total weight ],Order_Report10[ExternOrderNo],$N33)</f>
        <v>500</v>
      </c>
      <c r="P33">
        <f>CEILING(Table811[[#This Row],[Total weight ]],0.5)</f>
        <v>500</v>
      </c>
      <c r="Q33" t="str">
        <f>_xlfn.XLOOKUP(Table811[[#This Row],[Ext Order No]],Invoice[Order ID],Invoice[Zone])</f>
        <v>d</v>
      </c>
      <c r="R33" t="str">
        <f>IF(pincodes[[#Headers],[Matching status]]="matched",'(abc)pincodes'!C32,'(abc)pincodes'!C32)</f>
        <v>d</v>
      </c>
      <c r="S33" t="str">
        <f>_xlfn.XLOOKUP(Table811[[#This Row],[ABC area ]],Invoice[Zone],Invoice[Type of Shipment])</f>
        <v>Forward charges</v>
      </c>
      <c r="T33" t="s">
        <v>119</v>
      </c>
      <c r="U33">
        <f>_xlfn.XLOOKUP(Table811[[#This Row],[Ext Order No]],Invoice[Order ID],Invoice[Billing Amount (Rs.)],"not found")</f>
        <v>86.7</v>
      </c>
      <c r="V33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3">
        <f>_xlfn.XLOOKUP(Table811[[#This Row],[Ext Order No]],Invoice[Order ID],Invoice[AWB Code])</f>
        <v>1091118009786</v>
      </c>
      <c r="X33" s="4">
        <f>((Table811[[#This Row],[Courirer Price ]]-Table811[[#This Row],[Expected Price]])/Table811[[#This Row],[Expected Price]])*100</f>
        <v>90.969162995594715</v>
      </c>
      <c r="Y33" s="4" t="str">
        <f>IF(Table811[[#This Row],[%change]]&gt;0,"Over Charged",IF(Table811[[#This Row],[%change]]=0,"Perfectly Charged",IF(Table811[[#This Row],[%change]]&lt;0,"Under Charged")))</f>
        <v>Over Charged</v>
      </c>
    </row>
    <row r="34" spans="1:25" x14ac:dyDescent="0.3">
      <c r="A34">
        <v>2001821190</v>
      </c>
      <c r="B34" t="s">
        <v>65</v>
      </c>
      <c r="C34">
        <v>1</v>
      </c>
      <c r="D34">
        <f>_xlfn.XLOOKUP(Order_Report10[[#This Row],[SKU]],SKU_Master[SKU],SKU_Master[Weight (g)],"not found")</f>
        <v>600</v>
      </c>
      <c r="E34">
        <f>Order_Report10[[#This Row],[order weight ]]*Order_Report10[[#This Row],[Order Qty]]</f>
        <v>600</v>
      </c>
      <c r="N34" s="2">
        <v>2001811604</v>
      </c>
      <c r="O34">
        <f>SUMIFS(Order_Report10[_total weight ],Order_Report10[ExternOrderNo],$N34)</f>
        <v>721</v>
      </c>
      <c r="P34">
        <f>CEILING(Table811[[#This Row],[Total weight ]],0.5)</f>
        <v>721</v>
      </c>
      <c r="Q34" t="str">
        <f>_xlfn.XLOOKUP(Table811[[#This Row],[Ext Order No]],Invoice[Order ID],Invoice[Zone])</f>
        <v>b</v>
      </c>
      <c r="R34" t="str">
        <f>IF(pincodes[[#Headers],[Matching status]]="matched",'(abc)pincodes'!C33,'(abc)pincodes'!C33)</f>
        <v>d</v>
      </c>
      <c r="S34" t="str">
        <f>_xlfn.XLOOKUP(Table811[[#This Row],[ABC area ]],Invoice[Zone],Invoice[Type of Shipment])</f>
        <v>Forward charges</v>
      </c>
      <c r="T34" t="s">
        <v>119</v>
      </c>
      <c r="U34">
        <f>_xlfn.XLOOKUP(Table811[[#This Row],[Ext Order No]],Invoice[Order ID],Invoice[Billing Amount (Rs.)],"not found")</f>
        <v>61.3</v>
      </c>
      <c r="V3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4">
        <f>_xlfn.XLOOKUP(Table811[[#This Row],[Ext Order No]],Invoice[Order ID],Invoice[AWB Code])</f>
        <v>1091118004245</v>
      </c>
      <c r="X34" s="4">
        <f>((Table811[[#This Row],[Courirer Price ]]-Table811[[#This Row],[Expected Price]])/Table811[[#This Row],[Expected Price]])*100</f>
        <v>35.022026431718061</v>
      </c>
      <c r="Y34" s="4" t="str">
        <f>IF(Table811[[#This Row],[%change]]&gt;0,"Over Charged",IF(Table811[[#This Row],[%change]]=0,"Perfectly Charged",IF(Table811[[#This Row],[%change]]&lt;0,"Under Charged")))</f>
        <v>Over Charged</v>
      </c>
    </row>
    <row r="35" spans="1:25" x14ac:dyDescent="0.3">
      <c r="A35">
        <v>2001821185</v>
      </c>
      <c r="B35" t="s">
        <v>34</v>
      </c>
      <c r="C35">
        <v>2</v>
      </c>
      <c r="D35">
        <f>_xlfn.XLOOKUP(Order_Report10[[#This Row],[SKU]],SKU_Master[SKU],SKU_Master[Weight (g)],"not found")</f>
        <v>133</v>
      </c>
      <c r="E35">
        <f>Order_Report10[[#This Row],[order weight ]]*Order_Report10[[#This Row],[Order Qty]]</f>
        <v>266</v>
      </c>
      <c r="N35" s="1">
        <v>2001811475</v>
      </c>
      <c r="O35">
        <f>SUMIFS(Order_Report10[_total weight ],Order_Report10[ExternOrderNo],$N35)</f>
        <v>689</v>
      </c>
      <c r="P35">
        <f>CEILING(Table811[[#This Row],[Total weight ]],0.5)</f>
        <v>689</v>
      </c>
      <c r="Q35" t="str">
        <f>_xlfn.XLOOKUP(Table811[[#This Row],[Ext Order No]],Invoice[Order ID],Invoice[Zone])</f>
        <v>b</v>
      </c>
      <c r="R35" t="str">
        <f>IF(pincodes[[#Headers],[Matching status]]="matched",'(abc)pincodes'!C34,'(abc)pincodes'!C34)</f>
        <v>b</v>
      </c>
      <c r="S35" t="str">
        <f>_xlfn.XLOOKUP(Table811[[#This Row],[ABC area ]],Invoice[Zone],Invoice[Type of Shipment])</f>
        <v>Forward charges</v>
      </c>
      <c r="T35" t="s">
        <v>119</v>
      </c>
      <c r="U35">
        <f>_xlfn.XLOOKUP(Table811[[#This Row],[Ext Order No]],Invoice[Order ID],Invoice[Billing Amount (Rs.)],"not found")</f>
        <v>33</v>
      </c>
      <c r="V3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35">
        <f>_xlfn.XLOOKUP(Table811[[#This Row],[Ext Order No]],Invoice[Order ID],Invoice[AWB Code])</f>
        <v>1091121844806</v>
      </c>
      <c r="X35" s="4">
        <f>((Table811[[#This Row],[Courirer Price ]]-Table811[[#This Row],[Expected Price]])/Table811[[#This Row],[Expected Price]])*100</f>
        <v>0</v>
      </c>
      <c r="Y35" s="4" t="str">
        <f>IF(Table811[[#This Row],[%change]]&gt;0,"Over Charged",IF(Table811[[#This Row],[%change]]=0,"Perfectly Charged",IF(Table811[[#This Row],[%change]]&lt;0,"Under Charged")))</f>
        <v>Perfectly Charged</v>
      </c>
    </row>
    <row r="36" spans="1:25" x14ac:dyDescent="0.3">
      <c r="A36">
        <v>2001821185</v>
      </c>
      <c r="B36" t="s">
        <v>24</v>
      </c>
      <c r="C36">
        <v>2</v>
      </c>
      <c r="D36">
        <f>_xlfn.XLOOKUP(Order_Report10[[#This Row],[SKU]],SKU_Master[SKU],SKU_Master[Weight (g)],"not found")</f>
        <v>121</v>
      </c>
      <c r="E36">
        <f>Order_Report10[[#This Row],[order weight ]]*Order_Report10[[#This Row],[Order Qty]]</f>
        <v>242</v>
      </c>
      <c r="N36" s="1">
        <v>2001811466</v>
      </c>
      <c r="O36">
        <f>SUMIFS(Order_Report10[_total weight ],Order_Report10[ExternOrderNo],$N36)</f>
        <v>607</v>
      </c>
      <c r="P36">
        <f>CEILING(Table811[[#This Row],[Total weight ]],0.5)</f>
        <v>607</v>
      </c>
      <c r="Q36" t="str">
        <f>_xlfn.XLOOKUP(Table811[[#This Row],[Ext Order No]],Invoice[Order ID],Invoice[Zone])</f>
        <v>d</v>
      </c>
      <c r="R36" t="str">
        <f>IF(pincodes[[#Headers],[Matching status]]="matched",'(abc)pincodes'!C35,'(abc)pincodes'!C35)</f>
        <v>d</v>
      </c>
      <c r="S36" t="str">
        <f>_xlfn.XLOOKUP(Table811[[#This Row],[ABC area ]],Invoice[Zone],Invoice[Type of Shipment])</f>
        <v>Forward charges</v>
      </c>
      <c r="T36" t="s">
        <v>119</v>
      </c>
      <c r="U36">
        <f>_xlfn.XLOOKUP(Table811[[#This Row],[Ext Order No]],Invoice[Order ID],Invoice[Billing Amount (Rs.)],"not found")</f>
        <v>90.2</v>
      </c>
      <c r="V36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6">
        <f>_xlfn.XLOOKUP(Table811[[#This Row],[Ext Order No]],Invoice[Order ID],Invoice[AWB Code])</f>
        <v>1091118001865</v>
      </c>
      <c r="X36" s="4">
        <f>((Table811[[#This Row],[Courirer Price ]]-Table811[[#This Row],[Expected Price]])/Table811[[#This Row],[Expected Price]])*100</f>
        <v>98.678414096916313</v>
      </c>
      <c r="Y36" s="4" t="str">
        <f>IF(Table811[[#This Row],[%change]]&gt;0,"Over Charged",IF(Table811[[#This Row],[%change]]=0,"Perfectly Charged",IF(Table811[[#This Row],[%change]]&lt;0,"Under Charged")))</f>
        <v>Over Charged</v>
      </c>
    </row>
    <row r="37" spans="1:25" x14ac:dyDescent="0.3">
      <c r="A37">
        <v>2001821185</v>
      </c>
      <c r="B37" t="s">
        <v>51</v>
      </c>
      <c r="C37">
        <v>1</v>
      </c>
      <c r="D37">
        <f>_xlfn.XLOOKUP(Order_Report10[[#This Row],[SKU]],SKU_Master[SKU],SKU_Master[Weight (g)],"not found")</f>
        <v>290</v>
      </c>
      <c r="E37">
        <f>Order_Report10[[#This Row],[order weight ]]*Order_Report10[[#This Row],[Order Qty]]</f>
        <v>290</v>
      </c>
      <c r="N37" s="2">
        <v>2001811363</v>
      </c>
      <c r="O37">
        <f>SUMIFS(Order_Report10[_total weight ],Order_Report10[ExternOrderNo],$N37)</f>
        <v>343</v>
      </c>
      <c r="P37">
        <f>CEILING(Table811[[#This Row],[Total weight ]],0.5)</f>
        <v>343</v>
      </c>
      <c r="Q37" t="str">
        <f>_xlfn.XLOOKUP(Table811[[#This Row],[Ext Order No]],Invoice[Order ID],Invoice[Zone])</f>
        <v>d</v>
      </c>
      <c r="R37" t="str">
        <f>IF(pincodes[[#Headers],[Matching status]]="matched",'(abc)pincodes'!C36,'(abc)pincodes'!C36)</f>
        <v>d</v>
      </c>
      <c r="S37" t="str">
        <f>_xlfn.XLOOKUP(Table811[[#This Row],[ABC area ]],Invoice[Zone],Invoice[Type of Shipment])</f>
        <v>Forward charges</v>
      </c>
      <c r="T37" t="s">
        <v>119</v>
      </c>
      <c r="U37">
        <f>_xlfn.XLOOKUP(Table811[[#This Row],[Ext Order No]],Invoice[Order ID],Invoice[Billing Amount (Rs.)],"not found")</f>
        <v>90.2</v>
      </c>
      <c r="V37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7">
        <f>_xlfn.XLOOKUP(Table811[[#This Row],[Ext Order No]],Invoice[Order ID],Invoice[AWB Code])</f>
        <v>1091117958395</v>
      </c>
      <c r="X37" s="4">
        <f>((Table811[[#This Row],[Courirer Price ]]-Table811[[#This Row],[Expected Price]])/Table811[[#This Row],[Expected Price]])*100</f>
        <v>98.678414096916313</v>
      </c>
      <c r="Y37" s="4" t="str">
        <f>IF(Table811[[#This Row],[%change]]&gt;0,"Over Charged",IF(Table811[[#This Row],[%change]]=0,"Perfectly Charged",IF(Table811[[#This Row],[%change]]&lt;0,"Under Charged")))</f>
        <v>Over Charged</v>
      </c>
    </row>
    <row r="38" spans="1:25" x14ac:dyDescent="0.3">
      <c r="A38">
        <v>2001821185</v>
      </c>
      <c r="B38" t="s">
        <v>52</v>
      </c>
      <c r="C38">
        <v>1</v>
      </c>
      <c r="D38">
        <f>_xlfn.XLOOKUP(Order_Report10[[#This Row],[SKU]],SKU_Master[SKU],SKU_Master[Weight (g)],"not found")</f>
        <v>290</v>
      </c>
      <c r="E38">
        <f>Order_Report10[[#This Row],[order weight ]]*Order_Report10[[#This Row],[Order Qty]]</f>
        <v>290</v>
      </c>
      <c r="N38" s="1">
        <v>2001811306</v>
      </c>
      <c r="O38">
        <f>SUMIFS(Order_Report10[_total weight ],Order_Report10[ExternOrderNo],$N38)</f>
        <v>945</v>
      </c>
      <c r="P38">
        <f>CEILING(Table811[[#This Row],[Total weight ]],0.5)</f>
        <v>945</v>
      </c>
      <c r="Q38" t="str">
        <f>_xlfn.XLOOKUP(Table811[[#This Row],[Ext Order No]],Invoice[Order ID],Invoice[Zone])</f>
        <v>d</v>
      </c>
      <c r="R38" t="str">
        <f>IF(pincodes[[#Headers],[Matching status]]="matched",'(abc)pincodes'!C37,'(abc)pincodes'!C37)</f>
        <v>b</v>
      </c>
      <c r="S38" t="str">
        <f>_xlfn.XLOOKUP(Table811[[#This Row],[ABC area ]],Invoice[Zone],Invoice[Type of Shipment])</f>
        <v>Forward charges</v>
      </c>
      <c r="T38" t="s">
        <v>119</v>
      </c>
      <c r="U38">
        <f>_xlfn.XLOOKUP(Table811[[#This Row],[Ext Order No]],Invoice[Order ID],Invoice[Billing Amount (Rs.)],"not found")</f>
        <v>135</v>
      </c>
      <c r="V3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38">
        <f>_xlfn.XLOOKUP(Table811[[#This Row],[Ext Order No]],Invoice[Order ID],Invoice[AWB Code])</f>
        <v>1091117958163</v>
      </c>
      <c r="X38" s="4">
        <f>((Table811[[#This Row],[Courirer Price ]]-Table811[[#This Row],[Expected Price]])/Table811[[#This Row],[Expected Price]])*100</f>
        <v>309.09090909090907</v>
      </c>
      <c r="Y38" s="4" t="str">
        <f>IF(Table811[[#This Row],[%change]]&gt;0,"Over Charged",IF(Table811[[#This Row],[%change]]=0,"Perfectly Charged",IF(Table811[[#This Row],[%change]]&lt;0,"Under Charged")))</f>
        <v>Over Charged</v>
      </c>
    </row>
    <row r="39" spans="1:25" x14ac:dyDescent="0.3">
      <c r="A39">
        <v>2001821185</v>
      </c>
      <c r="B39" t="s">
        <v>53</v>
      </c>
      <c r="C39">
        <v>1</v>
      </c>
      <c r="D39">
        <f>_xlfn.XLOOKUP(Order_Report10[[#This Row],[SKU]],SKU_Master[SKU],SKU_Master[Weight (g)],"not found")</f>
        <v>290</v>
      </c>
      <c r="E39">
        <f>Order_Report10[[#This Row],[order weight ]]*Order_Report10[[#This Row],[Order Qty]]</f>
        <v>290</v>
      </c>
      <c r="N39" s="1">
        <v>2001811305</v>
      </c>
      <c r="O39">
        <f>SUMIFS(Order_Report10[_total weight ],Order_Report10[ExternOrderNo],$N39)</f>
        <v>750</v>
      </c>
      <c r="P39">
        <f>CEILING(Table811[[#This Row],[Total weight ]],0.5)</f>
        <v>750</v>
      </c>
      <c r="Q39" t="str">
        <f>_xlfn.XLOOKUP(Table811[[#This Row],[Ext Order No]],Invoice[Order ID],Invoice[Zone])</f>
        <v>d</v>
      </c>
      <c r="R39" t="str">
        <f>IF(pincodes[[#Headers],[Matching status]]="matched",'(abc)pincodes'!C38,'(abc)pincodes'!C38)</f>
        <v>d</v>
      </c>
      <c r="S39" t="str">
        <f>_xlfn.XLOOKUP(Table811[[#This Row],[ABC area ]],Invoice[Zone],Invoice[Type of Shipment])</f>
        <v>Forward charges</v>
      </c>
      <c r="T39" t="s">
        <v>119</v>
      </c>
      <c r="U39">
        <f>_xlfn.XLOOKUP(Table811[[#This Row],[Ext Order No]],Invoice[Order ID],Invoice[Billing Amount (Rs.)],"not found")</f>
        <v>45.4</v>
      </c>
      <c r="V39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39">
        <f>_xlfn.XLOOKUP(Table811[[#This Row],[Ext Order No]],Invoice[Order ID],Invoice[AWB Code])</f>
        <v>1091121846136</v>
      </c>
      <c r="X39" s="4">
        <f>((Table811[[#This Row],[Courirer Price ]]-Table811[[#This Row],[Expected Price]])/Table811[[#This Row],[Expected Price]])*100</f>
        <v>0</v>
      </c>
      <c r="Y39" s="4" t="str">
        <f>IF(Table811[[#This Row],[%change]]&gt;0,"Over Charged",IF(Table811[[#This Row],[%change]]=0,"Perfectly Charged",IF(Table811[[#This Row],[%change]]&lt;0,"Under Charged")))</f>
        <v>Perfectly Charged</v>
      </c>
    </row>
    <row r="40" spans="1:25" x14ac:dyDescent="0.3">
      <c r="A40">
        <v>2001821185</v>
      </c>
      <c r="B40" t="s">
        <v>23</v>
      </c>
      <c r="C40">
        <v>1</v>
      </c>
      <c r="D40">
        <f>_xlfn.XLOOKUP(Order_Report10[[#This Row],[SKU]],SKU_Master[SKU],SKU_Master[Weight (g)],"not found")</f>
        <v>240</v>
      </c>
      <c r="E40">
        <f>Order_Report10[[#This Row],[order weight ]]*Order_Report10[[#This Row],[Order Qty]]</f>
        <v>240</v>
      </c>
      <c r="N40" s="1">
        <v>2001811229</v>
      </c>
      <c r="O40">
        <f>SUMIFS(Order_Report10[_total weight ],Order_Report10[ExternOrderNo],$N40)</f>
        <v>505</v>
      </c>
      <c r="P40">
        <f>CEILING(Table811[[#This Row],[Total weight ]],0.5)</f>
        <v>505</v>
      </c>
      <c r="Q40" t="str">
        <f>_xlfn.XLOOKUP(Table811[[#This Row],[Ext Order No]],Invoice[Order ID],Invoice[Zone])</f>
        <v>d</v>
      </c>
      <c r="R40" t="str">
        <f>IF(pincodes[[#Headers],[Matching status]]="matched",'(abc)pincodes'!C39,'(abc)pincodes'!C39)</f>
        <v>d</v>
      </c>
      <c r="S40" t="str">
        <f>_xlfn.XLOOKUP(Table811[[#This Row],[ABC area ]],Invoice[Zone],Invoice[Type of Shipment])</f>
        <v>Forward charges</v>
      </c>
      <c r="T40" t="s">
        <v>119</v>
      </c>
      <c r="U40">
        <f>_xlfn.XLOOKUP(Table811[[#This Row],[Ext Order No]],Invoice[Order ID],Invoice[Billing Amount (Rs.)],"not found")</f>
        <v>90.2</v>
      </c>
      <c r="V40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0">
        <f>_xlfn.XLOOKUP(Table811[[#This Row],[Ext Order No]],Invoice[Order ID],Invoice[AWB Code])</f>
        <v>1091117957942</v>
      </c>
      <c r="X40" s="4">
        <f>((Table811[[#This Row],[Courirer Price ]]-Table811[[#This Row],[Expected Price]])/Table811[[#This Row],[Expected Price]])*100</f>
        <v>98.678414096916313</v>
      </c>
      <c r="Y40" s="4" t="str">
        <f>IF(Table811[[#This Row],[%change]]&gt;0,"Over Charged",IF(Table811[[#This Row],[%change]]=0,"Perfectly Charged",IF(Table811[[#This Row],[%change]]&lt;0,"Under Charged")))</f>
        <v>Over Charged</v>
      </c>
    </row>
    <row r="41" spans="1:25" x14ac:dyDescent="0.3">
      <c r="A41">
        <v>2001821185</v>
      </c>
      <c r="B41" t="s">
        <v>43</v>
      </c>
      <c r="C41">
        <v>1</v>
      </c>
      <c r="D41">
        <f>_xlfn.XLOOKUP(Order_Report10[[#This Row],[SKU]],SKU_Master[SKU],SKU_Master[Weight (g)],"not found")</f>
        <v>240</v>
      </c>
      <c r="E41">
        <f>Order_Report10[[#This Row],[order weight ]]*Order_Report10[[#This Row],[Order Qty]]</f>
        <v>240</v>
      </c>
      <c r="N41" s="2">
        <v>2001811192</v>
      </c>
      <c r="O41">
        <f>SUMIFS(Order_Report10[_total weight ],Order_Report10[ExternOrderNo],$N41)</f>
        <v>1032</v>
      </c>
      <c r="P41">
        <f>CEILING(Table811[[#This Row],[Total weight ]],0.5)</f>
        <v>1032</v>
      </c>
      <c r="Q41" t="str">
        <f>_xlfn.XLOOKUP(Table811[[#This Row],[Ext Order No]],Invoice[Order ID],Invoice[Zone])</f>
        <v>d</v>
      </c>
      <c r="R41" t="str">
        <f>IF(pincodes[[#Headers],[Matching status]]="matched",'(abc)pincodes'!C40,'(abc)pincodes'!C40)</f>
        <v>d</v>
      </c>
      <c r="S41" t="str">
        <f>_xlfn.XLOOKUP(Table811[[#This Row],[ABC area ]],Invoice[Zone],Invoice[Type of Shipment])</f>
        <v>Forward charges</v>
      </c>
      <c r="T41" t="s">
        <v>119</v>
      </c>
      <c r="U41">
        <f>_xlfn.XLOOKUP(Table811[[#This Row],[Ext Order No]],Invoice[Order ID],Invoice[Billing Amount (Rs.)],"not found")</f>
        <v>258.89999999999998</v>
      </c>
      <c r="V41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1">
        <f>_xlfn.XLOOKUP(Table811[[#This Row],[Ext Order No]],Invoice[Order ID],Invoice[AWB Code])</f>
        <v>1091117957780</v>
      </c>
      <c r="X41" s="4">
        <f>((Table811[[#This Row],[Courirer Price ]]-Table811[[#This Row],[Expected Price]])/Table811[[#This Row],[Expected Price]])*100</f>
        <v>470.26431718061667</v>
      </c>
      <c r="Y41" s="4" t="str">
        <f>IF(Table811[[#This Row],[%change]]&gt;0,"Over Charged",IF(Table811[[#This Row],[%change]]=0,"Perfectly Charged",IF(Table811[[#This Row],[%change]]&lt;0,"Under Charged")))</f>
        <v>Over Charged</v>
      </c>
    </row>
    <row r="42" spans="1:25" x14ac:dyDescent="0.3">
      <c r="A42">
        <v>2001821185</v>
      </c>
      <c r="B42" t="s">
        <v>30</v>
      </c>
      <c r="C42">
        <v>1</v>
      </c>
      <c r="D42">
        <f>_xlfn.XLOOKUP(Order_Report10[[#This Row],[SKU]],SKU_Master[SKU],SKU_Master[Weight (g)],"not found")</f>
        <v>240</v>
      </c>
      <c r="E42">
        <f>Order_Report10[[#This Row],[order weight ]]*Order_Report10[[#This Row],[Order Qty]]</f>
        <v>240</v>
      </c>
      <c r="N42" s="2">
        <v>2001811153</v>
      </c>
      <c r="O42">
        <f>SUMIFS(Order_Report10[_total weight ],Order_Report10[ExternOrderNo],$N42)</f>
        <v>607</v>
      </c>
      <c r="P42">
        <f>CEILING(Table811[[#This Row],[Total weight ]],0.5)</f>
        <v>607</v>
      </c>
      <c r="Q42" t="str">
        <f>_xlfn.XLOOKUP(Table811[[#This Row],[Ext Order No]],Invoice[Order ID],Invoice[Zone])</f>
        <v>d</v>
      </c>
      <c r="R42" t="str">
        <f>IF(pincodes[[#Headers],[Matching status]]="matched",'(abc)pincodes'!C41,'(abc)pincodes'!C41)</f>
        <v>d</v>
      </c>
      <c r="S42" t="str">
        <f>_xlfn.XLOOKUP(Table811[[#This Row],[ABC area ]],Invoice[Zone],Invoice[Type of Shipment])</f>
        <v>Forward charges</v>
      </c>
      <c r="T42" t="s">
        <v>119</v>
      </c>
      <c r="U42">
        <f>_xlfn.XLOOKUP(Table811[[#This Row],[Ext Order No]],Invoice[Order ID],Invoice[Billing Amount (Rs.)],"not found")</f>
        <v>90.2</v>
      </c>
      <c r="V42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2">
        <f>_xlfn.XLOOKUP(Table811[[#This Row],[Ext Order No]],Invoice[Order ID],Invoice[AWB Code])</f>
        <v>1091117957533</v>
      </c>
      <c r="X42" s="4">
        <f>((Table811[[#This Row],[Courirer Price ]]-Table811[[#This Row],[Expected Price]])/Table811[[#This Row],[Expected Price]])*100</f>
        <v>98.678414096916313</v>
      </c>
      <c r="Y42" s="4" t="str">
        <f>IF(Table811[[#This Row],[%change]]&gt;0,"Over Charged",IF(Table811[[#This Row],[%change]]=0,"Perfectly Charged",IF(Table811[[#This Row],[%change]]&lt;0,"Under Charged")))</f>
        <v>Over Charged</v>
      </c>
    </row>
    <row r="43" spans="1:25" x14ac:dyDescent="0.3">
      <c r="A43">
        <v>2001820978</v>
      </c>
      <c r="B43" t="s">
        <v>7</v>
      </c>
      <c r="C43">
        <v>1</v>
      </c>
      <c r="D43">
        <f>_xlfn.XLOOKUP(Order_Report10[[#This Row],[SKU]],SKU_Master[SKU],SKU_Master[Weight (g)],"not found")</f>
        <v>165</v>
      </c>
      <c r="E43">
        <f>Order_Report10[[#This Row],[order weight ]]*Order_Report10[[#This Row],[Order Qty]]</f>
        <v>165</v>
      </c>
      <c r="N43" s="1">
        <v>2001811058</v>
      </c>
      <c r="O43">
        <f>SUMIFS(Order_Report10[_total weight ],Order_Report10[ExternOrderNo],$N43)</f>
        <v>500</v>
      </c>
      <c r="P43">
        <f>CEILING(Table811[[#This Row],[Total weight ]],0.5)</f>
        <v>500</v>
      </c>
      <c r="Q43" t="str">
        <f>_xlfn.XLOOKUP(Table811[[#This Row],[Ext Order No]],Invoice[Order ID],Invoice[Zone])</f>
        <v>d</v>
      </c>
      <c r="R43" t="str">
        <f>IF(pincodes[[#Headers],[Matching status]]="matched",'(abc)pincodes'!C42,'(abc)pincodes'!C42)</f>
        <v>b</v>
      </c>
      <c r="S43" t="str">
        <f>_xlfn.XLOOKUP(Table811[[#This Row],[ABC area ]],Invoice[Zone],Invoice[Type of Shipment])</f>
        <v>Forward charges</v>
      </c>
      <c r="T43" t="s">
        <v>119</v>
      </c>
      <c r="U43">
        <f>_xlfn.XLOOKUP(Table811[[#This Row],[Ext Order No]],Invoice[Order ID],Invoice[Billing Amount (Rs.)],"not found")</f>
        <v>90.2</v>
      </c>
      <c r="V4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43">
        <f>_xlfn.XLOOKUP(Table811[[#This Row],[Ext Order No]],Invoice[Order ID],Invoice[AWB Code])</f>
        <v>1091117905022</v>
      </c>
      <c r="X43" s="4">
        <f>((Table811[[#This Row],[Courirer Price ]]-Table811[[#This Row],[Expected Price]])/Table811[[#This Row],[Expected Price]])*100</f>
        <v>173.33333333333334</v>
      </c>
      <c r="Y43" s="4" t="str">
        <f>IF(Table811[[#This Row],[%change]]&gt;0,"Over Charged",IF(Table811[[#This Row],[%change]]=0,"Perfectly Charged",IF(Table811[[#This Row],[%change]]&lt;0,"Under Charged")))</f>
        <v>Over Charged</v>
      </c>
    </row>
    <row r="44" spans="1:25" x14ac:dyDescent="0.3">
      <c r="A44">
        <v>2001820978</v>
      </c>
      <c r="B44" t="s">
        <v>14</v>
      </c>
      <c r="C44">
        <v>1</v>
      </c>
      <c r="D44">
        <f>_xlfn.XLOOKUP(Order_Report10[[#This Row],[SKU]],SKU_Master[SKU],SKU_Master[Weight (g)],"not found")</f>
        <v>350</v>
      </c>
      <c r="E44">
        <f>Order_Report10[[#This Row],[order weight ]]*Order_Report10[[#This Row],[Order Qty]]</f>
        <v>350</v>
      </c>
      <c r="N44" s="2">
        <v>2001811039</v>
      </c>
      <c r="O44">
        <f>SUMIFS(Order_Report10[_total weight ],Order_Report10[ExternOrderNo],$N44)</f>
        <v>488</v>
      </c>
      <c r="P44">
        <f>CEILING(Table811[[#This Row],[Total weight ]],0.5)</f>
        <v>488</v>
      </c>
      <c r="Q44" t="str">
        <f>_xlfn.XLOOKUP(Table811[[#This Row],[Ext Order No]],Invoice[Order ID],Invoice[Zone])</f>
        <v>d</v>
      </c>
      <c r="R44" t="str">
        <f>IF(pincodes[[#Headers],[Matching status]]="matched",'(abc)pincodes'!C43,'(abc)pincodes'!C43)</f>
        <v>d</v>
      </c>
      <c r="S44" t="str">
        <f>_xlfn.XLOOKUP(Table811[[#This Row],[ABC area ]],Invoice[Zone],Invoice[Type of Shipment])</f>
        <v>Forward charges</v>
      </c>
      <c r="T44" t="s">
        <v>119</v>
      </c>
      <c r="U44">
        <f>_xlfn.XLOOKUP(Table811[[#This Row],[Ext Order No]],Invoice[Order ID],Invoice[Billing Amount (Rs.)],"not found")</f>
        <v>90.2</v>
      </c>
      <c r="V4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4">
        <f>_xlfn.XLOOKUP(Table811[[#This Row],[Ext Order No]],Invoice[Order ID],Invoice[AWB Code])</f>
        <v>1091117904860</v>
      </c>
      <c r="X44" s="4">
        <f>((Table811[[#This Row],[Courirer Price ]]-Table811[[#This Row],[Expected Price]])/Table811[[#This Row],[Expected Price]])*100</f>
        <v>98.678414096916313</v>
      </c>
      <c r="Y44" s="4" t="str">
        <f>IF(Table811[[#This Row],[%change]]&gt;0,"Over Charged",IF(Table811[[#This Row],[%change]]=0,"Perfectly Charged",IF(Table811[[#This Row],[%change]]&lt;0,"Under Charged")))</f>
        <v>Over Charged</v>
      </c>
    </row>
    <row r="45" spans="1:25" x14ac:dyDescent="0.3">
      <c r="A45">
        <v>2001820690</v>
      </c>
      <c r="B45" t="s">
        <v>12</v>
      </c>
      <c r="C45">
        <v>1</v>
      </c>
      <c r="D45">
        <f>_xlfn.XLOOKUP(Order_Report10[[#This Row],[SKU]],SKU_Master[SKU],SKU_Master[Weight (g)],"not found")</f>
        <v>65</v>
      </c>
      <c r="E45">
        <f>Order_Report10[[#This Row],[order weight ]]*Order_Report10[[#This Row],[Order Qty]]</f>
        <v>65</v>
      </c>
      <c r="N45" s="1">
        <v>2001810697</v>
      </c>
      <c r="O45">
        <f>SUMIFS(Order_Report10[_total weight ],Order_Report10[ExternOrderNo],$N45)</f>
        <v>607</v>
      </c>
      <c r="P45">
        <f>CEILING(Table811[[#This Row],[Total weight ]],0.5)</f>
        <v>607</v>
      </c>
      <c r="Q45" t="str">
        <f>_xlfn.XLOOKUP(Table811[[#This Row],[Ext Order No]],Invoice[Order ID],Invoice[Zone])</f>
        <v>d</v>
      </c>
      <c r="R45" t="str">
        <f>IF(pincodes[[#Headers],[Matching status]]="matched",'(abc)pincodes'!C44,'(abc)pincodes'!C44)</f>
        <v>b</v>
      </c>
      <c r="S45" t="str">
        <f>_xlfn.XLOOKUP(Table811[[#This Row],[ABC area ]],Invoice[Zone],Invoice[Type of Shipment])</f>
        <v>Forward charges</v>
      </c>
      <c r="T45" t="s">
        <v>119</v>
      </c>
      <c r="U45">
        <f>_xlfn.XLOOKUP(Table811[[#This Row],[Ext Order No]],Invoice[Order ID],Invoice[Billing Amount (Rs.)],"not found")</f>
        <v>224.6</v>
      </c>
      <c r="V4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45">
        <f>_xlfn.XLOOKUP(Table811[[#This Row],[Ext Order No]],Invoice[Order ID],Invoice[AWB Code])</f>
        <v>1091117807140</v>
      </c>
      <c r="X45" s="4">
        <f>((Table811[[#This Row],[Courirer Price ]]-Table811[[#This Row],[Expected Price]])/Table811[[#This Row],[Expected Price]])*100</f>
        <v>580.60606060606062</v>
      </c>
      <c r="Y45" s="4" t="str">
        <f>IF(Table811[[#This Row],[%change]]&gt;0,"Over Charged",IF(Table811[[#This Row],[%change]]=0,"Perfectly Charged",IF(Table811[[#This Row],[%change]]&lt;0,"Under Charged")))</f>
        <v>Over Charged</v>
      </c>
    </row>
    <row r="46" spans="1:25" x14ac:dyDescent="0.3">
      <c r="A46">
        <v>2001819252</v>
      </c>
      <c r="B46" t="s">
        <v>34</v>
      </c>
      <c r="C46">
        <v>1</v>
      </c>
      <c r="D46">
        <f>_xlfn.XLOOKUP(Order_Report10[[#This Row],[SKU]],SKU_Master[SKU],SKU_Master[Weight (g)],"not found")</f>
        <v>133</v>
      </c>
      <c r="E46">
        <f>Order_Report10[[#This Row],[order weight ]]*Order_Report10[[#This Row],[Order Qty]]</f>
        <v>133</v>
      </c>
      <c r="N46" s="2">
        <v>2001810549</v>
      </c>
      <c r="O46">
        <f>SUMIFS(Order_Report10[_total weight ],Order_Report10[ExternOrderNo],$N46)</f>
        <v>986</v>
      </c>
      <c r="P46">
        <f>CEILING(Table811[[#This Row],[Total weight ]],0.5)</f>
        <v>986</v>
      </c>
      <c r="Q46" t="str">
        <f>_xlfn.XLOOKUP(Table811[[#This Row],[Ext Order No]],Invoice[Order ID],Invoice[Zone])</f>
        <v>d</v>
      </c>
      <c r="R46" t="str">
        <f>IF(pincodes[[#Headers],[Matching status]]="matched",'(abc)pincodes'!C45,'(abc)pincodes'!C45)</f>
        <v>b</v>
      </c>
      <c r="S46" t="str">
        <f>_xlfn.XLOOKUP(Table811[[#This Row],[ABC area ]],Invoice[Zone],Invoice[Type of Shipment])</f>
        <v>Forward charges</v>
      </c>
      <c r="T46" t="s">
        <v>119</v>
      </c>
      <c r="U46">
        <f>_xlfn.XLOOKUP(Table811[[#This Row],[Ext Order No]],Invoice[Order ID],Invoice[Billing Amount (Rs.)],"not found")</f>
        <v>179.8</v>
      </c>
      <c r="V4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46">
        <f>_xlfn.XLOOKUP(Table811[[#This Row],[Ext Order No]],Invoice[Order ID],Invoice[AWB Code])</f>
        <v>1091117806263</v>
      </c>
      <c r="X46" s="4">
        <f>((Table811[[#This Row],[Courirer Price ]]-Table811[[#This Row],[Expected Price]])/Table811[[#This Row],[Expected Price]])*100</f>
        <v>444.84848484848493</v>
      </c>
      <c r="Y46" s="4" t="str">
        <f>IF(Table811[[#This Row],[%change]]&gt;0,"Over Charged",IF(Table811[[#This Row],[%change]]=0,"Perfectly Charged",IF(Table811[[#This Row],[%change]]&lt;0,"Under Charged")))</f>
        <v>Over Charged</v>
      </c>
    </row>
    <row r="47" spans="1:25" x14ac:dyDescent="0.3">
      <c r="A47">
        <v>2001819252</v>
      </c>
      <c r="B47" t="s">
        <v>25</v>
      </c>
      <c r="C47">
        <v>1</v>
      </c>
      <c r="D47">
        <f>_xlfn.XLOOKUP(Order_Report10[[#This Row],[SKU]],SKU_Master[SKU],SKU_Master[Weight (g)],"not found")</f>
        <v>127</v>
      </c>
      <c r="E47">
        <f>Order_Report10[[#This Row],[order weight ]]*Order_Report10[[#This Row],[Order Qty]]</f>
        <v>127</v>
      </c>
      <c r="N47" s="2">
        <v>2001810281</v>
      </c>
      <c r="O47">
        <f>SUMIFS(Order_Report10[_total weight ],Order_Report10[ExternOrderNo],$N47)</f>
        <v>500</v>
      </c>
      <c r="P47">
        <f>CEILING(Table811[[#This Row],[Total weight ]],0.5)</f>
        <v>500</v>
      </c>
      <c r="Q47" t="str">
        <f>_xlfn.XLOOKUP(Table811[[#This Row],[Ext Order No]],Invoice[Order ID],Invoice[Zone])</f>
        <v>d</v>
      </c>
      <c r="R47" t="str">
        <f>IF(pincodes[[#Headers],[Matching status]]="matched",'(abc)pincodes'!C46,'(abc)pincodes'!C46)</f>
        <v>d</v>
      </c>
      <c r="S47" t="str">
        <f>_xlfn.XLOOKUP(Table811[[#This Row],[ABC area ]],Invoice[Zone],Invoice[Type of Shipment])</f>
        <v>Forward charges</v>
      </c>
      <c r="T47" t="s">
        <v>119</v>
      </c>
      <c r="U47">
        <f>_xlfn.XLOOKUP(Table811[[#This Row],[Ext Order No]],Invoice[Order ID],Invoice[Billing Amount (Rs.)],"not found")</f>
        <v>90.2</v>
      </c>
      <c r="V47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7">
        <f>_xlfn.XLOOKUP(Table811[[#This Row],[Ext Order No]],Invoice[Order ID],Invoice[AWB Code])</f>
        <v>1091117805390</v>
      </c>
      <c r="X47" s="4">
        <f>((Table811[[#This Row],[Courirer Price ]]-Table811[[#This Row],[Expected Price]])/Table811[[#This Row],[Expected Price]])*100</f>
        <v>98.678414096916313</v>
      </c>
      <c r="Y47" s="4" t="str">
        <f>IF(Table811[[#This Row],[%change]]&gt;0,"Over Charged",IF(Table811[[#This Row],[%change]]=0,"Perfectly Charged",IF(Table811[[#This Row],[%change]]&lt;0,"Under Charged")))</f>
        <v>Over Charged</v>
      </c>
    </row>
    <row r="48" spans="1:25" x14ac:dyDescent="0.3">
      <c r="A48">
        <v>2001819252</v>
      </c>
      <c r="B48" t="s">
        <v>70</v>
      </c>
      <c r="C48">
        <v>1</v>
      </c>
      <c r="D48">
        <f>_xlfn.XLOOKUP(Order_Report10[[#This Row],[SKU]],SKU_Master[SKU],SKU_Master[Weight (g)],"not found")</f>
        <v>10</v>
      </c>
      <c r="E48">
        <f>Order_Report10[[#This Row],[order weight ]]*Order_Report10[[#This Row],[Order Qty]]</f>
        <v>10</v>
      </c>
      <c r="N48" s="1">
        <v>2001810125</v>
      </c>
      <c r="O48">
        <f>SUMIFS(Order_Report10[_total weight ],Order_Report10[ExternOrderNo],$N48)</f>
        <v>500</v>
      </c>
      <c r="P48">
        <f>CEILING(Table811[[#This Row],[Total weight ]],0.5)</f>
        <v>500</v>
      </c>
      <c r="Q48" t="str">
        <f>_xlfn.XLOOKUP(Table811[[#This Row],[Ext Order No]],Invoice[Order ID],Invoice[Zone])</f>
        <v>d</v>
      </c>
      <c r="R48" t="str">
        <f>IF(pincodes[[#Headers],[Matching status]]="matched",'(abc)pincodes'!C47,'(abc)pincodes'!C47)</f>
        <v>d</v>
      </c>
      <c r="S48" t="str">
        <f>_xlfn.XLOOKUP(Table811[[#This Row],[ABC area ]],Invoice[Zone],Invoice[Type of Shipment])</f>
        <v>Forward charges</v>
      </c>
      <c r="T48" t="s">
        <v>119</v>
      </c>
      <c r="U48">
        <f>_xlfn.XLOOKUP(Table811[[#This Row],[Ext Order No]],Invoice[Order ID],Invoice[Billing Amount (Rs.)],"not found")</f>
        <v>90.2</v>
      </c>
      <c r="V48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8">
        <f>_xlfn.XLOOKUP(Table811[[#This Row],[Ext Order No]],Invoice[Order ID],Invoice[AWB Code])</f>
        <v>1091117804314</v>
      </c>
      <c r="X48" s="4">
        <f>((Table811[[#This Row],[Courirer Price ]]-Table811[[#This Row],[Expected Price]])/Table811[[#This Row],[Expected Price]])*100</f>
        <v>98.678414096916313</v>
      </c>
      <c r="Y48" s="4" t="str">
        <f>IF(Table811[[#This Row],[%change]]&gt;0,"Over Charged",IF(Table811[[#This Row],[%change]]=0,"Perfectly Charged",IF(Table811[[#This Row],[%change]]&lt;0,"Under Charged")))</f>
        <v>Over Charged</v>
      </c>
    </row>
    <row r="49" spans="1:25" x14ac:dyDescent="0.3">
      <c r="A49">
        <v>2001818390</v>
      </c>
      <c r="B49" t="s">
        <v>43</v>
      </c>
      <c r="C49">
        <v>1</v>
      </c>
      <c r="D49">
        <f>_xlfn.XLOOKUP(Order_Report10[[#This Row],[SKU]],SKU_Master[SKU],SKU_Master[Weight (g)],"not found")</f>
        <v>240</v>
      </c>
      <c r="E49">
        <f>Order_Report10[[#This Row],[order weight ]]*Order_Report10[[#This Row],[Order Qty]]</f>
        <v>240</v>
      </c>
      <c r="N49" s="2">
        <v>2001810104</v>
      </c>
      <c r="O49">
        <f>SUMIFS(Order_Report10[_total weight ],Order_Report10[ExternOrderNo],$N49)</f>
        <v>601</v>
      </c>
      <c r="P49">
        <f>CEILING(Table811[[#This Row],[Total weight ]],0.5)</f>
        <v>601</v>
      </c>
      <c r="Q49" t="str">
        <f>_xlfn.XLOOKUP(Table811[[#This Row],[Ext Order No]],Invoice[Order ID],Invoice[Zone])</f>
        <v>d</v>
      </c>
      <c r="R49" t="str">
        <f>IF(pincodes[[#Headers],[Matching status]]="matched",'(abc)pincodes'!C48,'(abc)pincodes'!C48)</f>
        <v>d</v>
      </c>
      <c r="S49" t="str">
        <f>_xlfn.XLOOKUP(Table811[[#This Row],[ABC area ]],Invoice[Zone],Invoice[Type of Shipment])</f>
        <v>Forward charges</v>
      </c>
      <c r="T49" t="s">
        <v>119</v>
      </c>
      <c r="U49">
        <f>_xlfn.XLOOKUP(Table811[[#This Row],[Ext Order No]],Invoice[Order ID],Invoice[Billing Amount (Rs.)],"not found")</f>
        <v>90.2</v>
      </c>
      <c r="V49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49">
        <f>_xlfn.XLOOKUP(Table811[[#This Row],[Ext Order No]],Invoice[Order ID],Invoice[AWB Code])</f>
        <v>1091117804200</v>
      </c>
      <c r="X49" s="4">
        <f>((Table811[[#This Row],[Courirer Price ]]-Table811[[#This Row],[Expected Price]])/Table811[[#This Row],[Expected Price]])*100</f>
        <v>98.678414096916313</v>
      </c>
      <c r="Y49" s="4" t="str">
        <f>IF(Table811[[#This Row],[%change]]&gt;0,"Over Charged",IF(Table811[[#This Row],[%change]]=0,"Perfectly Charged",IF(Table811[[#This Row],[%change]]&lt;0,"Under Charged")))</f>
        <v>Over Charged</v>
      </c>
    </row>
    <row r="50" spans="1:25" x14ac:dyDescent="0.3">
      <c r="A50">
        <v>2001818390</v>
      </c>
      <c r="B50" t="s">
        <v>31</v>
      </c>
      <c r="C50">
        <v>4</v>
      </c>
      <c r="D50">
        <f>_xlfn.XLOOKUP(Order_Report10[[#This Row],[SKU]],SKU_Master[SKU],SKU_Master[Weight (g)],"not found")</f>
        <v>120</v>
      </c>
      <c r="E50">
        <f>Order_Report10[[#This Row],[order weight ]]*Order_Report10[[#This Row],[Order Qty]]</f>
        <v>480</v>
      </c>
      <c r="N50" s="1">
        <v>2001809934</v>
      </c>
      <c r="O50">
        <f>SUMIFS(Order_Report10[_total weight ],Order_Report10[ExternOrderNo],$N50)</f>
        <v>361</v>
      </c>
      <c r="P50">
        <f>CEILING(Table811[[#This Row],[Total weight ]],0.5)</f>
        <v>361</v>
      </c>
      <c r="Q50" t="str">
        <f>_xlfn.XLOOKUP(Table811[[#This Row],[Ext Order No]],Invoice[Order ID],Invoice[Zone])</f>
        <v>d</v>
      </c>
      <c r="R50" t="str">
        <f>IF(pincodes[[#Headers],[Matching status]]="matched",'(abc)pincodes'!C49,'(abc)pincodes'!C49)</f>
        <v>d</v>
      </c>
      <c r="S50" t="str">
        <f>_xlfn.XLOOKUP(Table811[[#This Row],[ABC area ]],Invoice[Zone],Invoice[Type of Shipment])</f>
        <v>Forward charges</v>
      </c>
      <c r="T50" t="s">
        <v>119</v>
      </c>
      <c r="U50">
        <f>_xlfn.XLOOKUP(Table811[[#This Row],[Ext Order No]],Invoice[Order ID],Invoice[Billing Amount (Rs.)],"not found")</f>
        <v>90.2</v>
      </c>
      <c r="V50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0">
        <f>_xlfn.XLOOKUP(Table811[[#This Row],[Ext Order No]],Invoice[Order ID],Invoice[AWB Code])</f>
        <v>1091117803511</v>
      </c>
      <c r="X50" s="4">
        <f>((Table811[[#This Row],[Courirer Price ]]-Table811[[#This Row],[Expected Price]])/Table811[[#This Row],[Expected Price]])*100</f>
        <v>98.678414096916313</v>
      </c>
      <c r="Y50" s="4" t="str">
        <f>IF(Table811[[#This Row],[%change]]&gt;0,"Over Charged",IF(Table811[[#This Row],[%change]]=0,"Perfectly Charged",IF(Table811[[#This Row],[%change]]&lt;0,"Under Charged")))</f>
        <v>Over Charged</v>
      </c>
    </row>
    <row r="51" spans="1:25" x14ac:dyDescent="0.3">
      <c r="A51">
        <v>2001818390</v>
      </c>
      <c r="B51" t="s">
        <v>24</v>
      </c>
      <c r="C51">
        <v>1</v>
      </c>
      <c r="D51">
        <f>_xlfn.XLOOKUP(Order_Report10[[#This Row],[SKU]],SKU_Master[SKU],SKU_Master[Weight (g)],"not found")</f>
        <v>121</v>
      </c>
      <c r="E51">
        <f>Order_Report10[[#This Row],[order weight ]]*Order_Report10[[#This Row],[Order Qty]]</f>
        <v>121</v>
      </c>
      <c r="N51" s="1">
        <v>2001809917</v>
      </c>
      <c r="O51">
        <f>SUMIFS(Order_Report10[_total weight ],Order_Report10[ExternOrderNo],$N51)</f>
        <v>630</v>
      </c>
      <c r="P51">
        <f>CEILING(Table811[[#This Row],[Total weight ]],0.5)</f>
        <v>630</v>
      </c>
      <c r="Q51" t="str">
        <f>_xlfn.XLOOKUP(Table811[[#This Row],[Ext Order No]],Invoice[Order ID],Invoice[Zone])</f>
        <v>d</v>
      </c>
      <c r="R51" t="str">
        <f>IF(pincodes[[#Headers],[Matching status]]="matched",'(abc)pincodes'!C50,'(abc)pincodes'!C50)</f>
        <v>b</v>
      </c>
      <c r="S51" t="str">
        <f>_xlfn.XLOOKUP(Table811[[#This Row],[ABC area ]],Invoice[Zone],Invoice[Type of Shipment])</f>
        <v>Forward charges</v>
      </c>
      <c r="T51" t="s">
        <v>119</v>
      </c>
      <c r="U51">
        <f>_xlfn.XLOOKUP(Table811[[#This Row],[Ext Order No]],Invoice[Order ID],Invoice[Billing Amount (Rs.)],"not found")</f>
        <v>172.8</v>
      </c>
      <c r="V5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51">
        <f>_xlfn.XLOOKUP(Table811[[#This Row],[Ext Order No]],Invoice[Order ID],Invoice[AWB Code])</f>
        <v>1091121482593</v>
      </c>
      <c r="X51" s="4">
        <f>((Table811[[#This Row],[Courirer Price ]]-Table811[[#This Row],[Expected Price]])/Table811[[#This Row],[Expected Price]])*100</f>
        <v>423.63636363636363</v>
      </c>
      <c r="Y51" s="4" t="str">
        <f>IF(Table811[[#This Row],[%change]]&gt;0,"Over Charged",IF(Table811[[#This Row],[%change]]=0,"Perfectly Charged",IF(Table811[[#This Row],[%change]]&lt;0,"Under Charged")))</f>
        <v>Over Charged</v>
      </c>
    </row>
    <row r="52" spans="1:25" x14ac:dyDescent="0.3">
      <c r="A52">
        <v>2001817160</v>
      </c>
      <c r="B52" t="s">
        <v>16</v>
      </c>
      <c r="C52">
        <v>1</v>
      </c>
      <c r="D52">
        <f>_xlfn.XLOOKUP(Order_Report10[[#This Row],[SKU]],SKU_Master[SKU],SKU_Master[Weight (g)],"not found")</f>
        <v>350</v>
      </c>
      <c r="E52">
        <f>Order_Report10[[#This Row],[order weight ]]*Order_Report10[[#This Row],[Order Qty]]</f>
        <v>350</v>
      </c>
      <c r="N52" s="2">
        <v>2001809820</v>
      </c>
      <c r="O52">
        <f>SUMIFS(Order_Report10[_total weight ],Order_Report10[ExternOrderNo],$N52)</f>
        <v>3080</v>
      </c>
      <c r="P52">
        <f>CEILING(Table811[[#This Row],[Total weight ]],0.5)</f>
        <v>3080</v>
      </c>
      <c r="Q52" t="str">
        <f>_xlfn.XLOOKUP(Table811[[#This Row],[Ext Order No]],Invoice[Order ID],Invoice[Zone])</f>
        <v>d</v>
      </c>
      <c r="R52" t="str">
        <f>IF(pincodes[[#Headers],[Matching status]]="matched",'(abc)pincodes'!C51,'(abc)pincodes'!C51)</f>
        <v>d</v>
      </c>
      <c r="S52" t="str">
        <f>_xlfn.XLOOKUP(Table811[[#This Row],[ABC area ]],Invoice[Zone],Invoice[Type of Shipment])</f>
        <v>Forward charges</v>
      </c>
      <c r="T52" t="s">
        <v>119</v>
      </c>
      <c r="U52">
        <f>_xlfn.XLOOKUP(Table811[[#This Row],[Ext Order No]],Invoice[Order ID],Invoice[Billing Amount (Rs.)],"not found")</f>
        <v>269.39999999999998</v>
      </c>
      <c r="V52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2">
        <f>_xlfn.XLOOKUP(Table811[[#This Row],[Ext Order No]],Invoice[Order ID],Invoice[AWB Code])</f>
        <v>1091117795623</v>
      </c>
      <c r="X52" s="4">
        <f>((Table811[[#This Row],[Courirer Price ]]-Table811[[#This Row],[Expected Price]])/Table811[[#This Row],[Expected Price]])*100</f>
        <v>493.39207048458144</v>
      </c>
      <c r="Y52" s="4" t="str">
        <f>IF(Table811[[#This Row],[%change]]&gt;0,"Over Charged",IF(Table811[[#This Row],[%change]]=0,"Perfectly Charged",IF(Table811[[#This Row],[%change]]&lt;0,"Under Charged")))</f>
        <v>Over Charged</v>
      </c>
    </row>
    <row r="53" spans="1:25" x14ac:dyDescent="0.3">
      <c r="A53">
        <v>2001817160</v>
      </c>
      <c r="B53" t="s">
        <v>48</v>
      </c>
      <c r="C53">
        <v>1</v>
      </c>
      <c r="D53">
        <f>_xlfn.XLOOKUP(Order_Report10[[#This Row],[SKU]],SKU_Master[SKU],SKU_Master[Weight (g)],"not found")</f>
        <v>350</v>
      </c>
      <c r="E53">
        <f>Order_Report10[[#This Row],[order weight ]]*Order_Report10[[#This Row],[Order Qty]]</f>
        <v>350</v>
      </c>
      <c r="N53" s="2">
        <v>2001809794</v>
      </c>
      <c r="O53">
        <f>SUMIFS(Order_Report10[_total weight ],Order_Report10[ExternOrderNo],$N53)</f>
        <v>1517</v>
      </c>
      <c r="P53">
        <f>CEILING(Table811[[#This Row],[Total weight ]],0.5)</f>
        <v>1517</v>
      </c>
      <c r="Q53" t="str">
        <f>_xlfn.XLOOKUP(Table811[[#This Row],[Ext Order No]],Invoice[Order ID],Invoice[Zone])</f>
        <v>d</v>
      </c>
      <c r="R53" t="str">
        <f>IF(pincodes[[#Headers],[Matching status]]="matched",'(abc)pincodes'!C52,'(abc)pincodes'!C52)</f>
        <v>d</v>
      </c>
      <c r="S53" t="str">
        <f>_xlfn.XLOOKUP(Table811[[#This Row],[ABC area ]],Invoice[Zone],Invoice[Type of Shipment])</f>
        <v>Forward charges</v>
      </c>
      <c r="T53" t="s">
        <v>119</v>
      </c>
      <c r="U53">
        <f>_xlfn.XLOOKUP(Table811[[#This Row],[Ext Order No]],Invoice[Order ID],Invoice[Billing Amount (Rs.)],"not found")</f>
        <v>135</v>
      </c>
      <c r="V53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3">
        <f>_xlfn.XLOOKUP(Table811[[#This Row],[Ext Order No]],Invoice[Order ID],Invoice[AWB Code])</f>
        <v>1091117795531</v>
      </c>
      <c r="X53" s="4">
        <f>((Table811[[#This Row],[Courirer Price ]]-Table811[[#This Row],[Expected Price]])/Table811[[#This Row],[Expected Price]])*100</f>
        <v>197.3568281938326</v>
      </c>
      <c r="Y53" s="4" t="str">
        <f>IF(Table811[[#This Row],[%change]]&gt;0,"Over Charged",IF(Table811[[#This Row],[%change]]=0,"Perfectly Charged",IF(Table811[[#This Row],[%change]]&lt;0,"Under Charged")))</f>
        <v>Over Charged</v>
      </c>
    </row>
    <row r="54" spans="1:25" x14ac:dyDescent="0.3">
      <c r="A54">
        <v>2001817093</v>
      </c>
      <c r="B54" t="s">
        <v>10</v>
      </c>
      <c r="C54">
        <v>1</v>
      </c>
      <c r="D54">
        <f>_xlfn.XLOOKUP(Order_Report10[[#This Row],[SKU]],SKU_Master[SKU],SKU_Master[Weight (g)],"not found")</f>
        <v>120</v>
      </c>
      <c r="E54">
        <f>Order_Report10[[#This Row],[order weight ]]*Order_Report10[[#This Row],[Order Qty]]</f>
        <v>120</v>
      </c>
      <c r="N54" s="1">
        <v>2001809592</v>
      </c>
      <c r="O54">
        <f>SUMIFS(Order_Report10[_total weight ],Order_Report10[ExternOrderNo],$N54)</f>
        <v>1505</v>
      </c>
      <c r="P54">
        <f>CEILING(Table811[[#This Row],[Total weight ]],0.5)</f>
        <v>1505</v>
      </c>
      <c r="Q54" t="str">
        <f>_xlfn.XLOOKUP(Table811[[#This Row],[Ext Order No]],Invoice[Order ID],Invoice[Zone])</f>
        <v>b</v>
      </c>
      <c r="R54" t="str">
        <f>IF(pincodes[[#Headers],[Matching status]]="matched",'(abc)pincodes'!C53,'(abc)pincodes'!C53)</f>
        <v>d</v>
      </c>
      <c r="S54" t="str">
        <f>_xlfn.XLOOKUP(Table811[[#This Row],[ABC area ]],Invoice[Zone],Invoice[Type of Shipment])</f>
        <v>Forward charges</v>
      </c>
      <c r="T54" t="s">
        <v>119</v>
      </c>
      <c r="U54">
        <f>_xlfn.XLOOKUP(Table811[[#This Row],[Ext Order No]],Invoice[Order ID],Invoice[Billing Amount (Rs.)],"not found")</f>
        <v>89.6</v>
      </c>
      <c r="V54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4">
        <f>_xlfn.XLOOKUP(Table811[[#This Row],[Ext Order No]],Invoice[Order ID],Invoice[AWB Code])</f>
        <v>1091117616121</v>
      </c>
      <c r="X54" s="4">
        <f>((Table811[[#This Row],[Courirer Price ]]-Table811[[#This Row],[Expected Price]])/Table811[[#This Row],[Expected Price]])*100</f>
        <v>97.356828193832584</v>
      </c>
      <c r="Y54" s="4" t="str">
        <f>IF(Table811[[#This Row],[%change]]&gt;0,"Over Charged",IF(Table811[[#This Row],[%change]]=0,"Perfectly Charged",IF(Table811[[#This Row],[%change]]&lt;0,"Under Charged")))</f>
        <v>Over Charged</v>
      </c>
    </row>
    <row r="55" spans="1:25" x14ac:dyDescent="0.3">
      <c r="A55">
        <v>2001817093</v>
      </c>
      <c r="B55" t="s">
        <v>32</v>
      </c>
      <c r="C55">
        <v>1</v>
      </c>
      <c r="D55">
        <f>_xlfn.XLOOKUP(Order_Report10[[#This Row],[SKU]],SKU_Master[SKU],SKU_Master[Weight (g)],"not found")</f>
        <v>100</v>
      </c>
      <c r="E55">
        <f>Order_Report10[[#This Row],[order weight ]]*Order_Report10[[#This Row],[Order Qty]]</f>
        <v>100</v>
      </c>
      <c r="N55" s="1">
        <v>2001809383</v>
      </c>
      <c r="O55">
        <f>SUMIFS(Order_Report10[_total weight ],Order_Report10[ExternOrderNo],$N55)</f>
        <v>607</v>
      </c>
      <c r="P55">
        <f>CEILING(Table811[[#This Row],[Total weight ]],0.5)</f>
        <v>607</v>
      </c>
      <c r="Q55" t="str">
        <f>_xlfn.XLOOKUP(Table811[[#This Row],[Ext Order No]],Invoice[Order ID],Invoice[Zone])</f>
        <v>d</v>
      </c>
      <c r="R55" t="str">
        <f>IF(pincodes[[#Headers],[Matching status]]="matched",'(abc)pincodes'!C54,'(abc)pincodes'!C54)</f>
        <v>d</v>
      </c>
      <c r="S55" t="str">
        <f>_xlfn.XLOOKUP(Table811[[#This Row],[ABC area ]],Invoice[Zone],Invoice[Type of Shipment])</f>
        <v>Forward charges</v>
      </c>
      <c r="T55" t="s">
        <v>119</v>
      </c>
      <c r="U55">
        <f>_xlfn.XLOOKUP(Table811[[#This Row],[Ext Order No]],Invoice[Order ID],Invoice[Billing Amount (Rs.)],"not found")</f>
        <v>86.7</v>
      </c>
      <c r="V55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5">
        <f>_xlfn.XLOOKUP(Table811[[#This Row],[Ext Order No]],Invoice[Order ID],Invoice[AWB Code])</f>
        <v>1091117614452</v>
      </c>
      <c r="X55" s="4">
        <f>((Table811[[#This Row],[Courirer Price ]]-Table811[[#This Row],[Expected Price]])/Table811[[#This Row],[Expected Price]])*100</f>
        <v>90.969162995594715</v>
      </c>
      <c r="Y55" s="4" t="str">
        <f>IF(Table811[[#This Row],[%change]]&gt;0,"Over Charged",IF(Table811[[#This Row],[%change]]=0,"Perfectly Charged",IF(Table811[[#This Row],[%change]]&lt;0,"Under Charged")))</f>
        <v>Over Charged</v>
      </c>
    </row>
    <row r="56" spans="1:25" x14ac:dyDescent="0.3">
      <c r="A56">
        <v>2001817093</v>
      </c>
      <c r="B56" t="s">
        <v>68</v>
      </c>
      <c r="C56">
        <v>1</v>
      </c>
      <c r="D56">
        <f>_xlfn.XLOOKUP(Order_Report10[[#This Row],[SKU]],SKU_Master[SKU],SKU_Master[Weight (g)],"not found")</f>
        <v>210</v>
      </c>
      <c r="E56">
        <f>Order_Report10[[#This Row],[order weight ]]*Order_Report10[[#This Row],[Order Qty]]</f>
        <v>210</v>
      </c>
      <c r="N56" s="2">
        <v>2001809270</v>
      </c>
      <c r="O56">
        <f>SUMIFS(Order_Report10[_total weight ],Order_Report10[ExternOrderNo],$N56)</f>
        <v>500</v>
      </c>
      <c r="P56">
        <f>CEILING(Table811[[#This Row],[Total weight ]],0.5)</f>
        <v>500</v>
      </c>
      <c r="Q56" t="str">
        <f>_xlfn.XLOOKUP(Table811[[#This Row],[Ext Order No]],Invoice[Order ID],Invoice[Zone])</f>
        <v>d</v>
      </c>
      <c r="R56" t="str">
        <f>IF(pincodes[[#Headers],[Matching status]]="matched",'(abc)pincodes'!C55,'(abc)pincodes'!C55)</f>
        <v>b</v>
      </c>
      <c r="S56" t="str">
        <f>_xlfn.XLOOKUP(Table811[[#This Row],[ABC area ]],Invoice[Zone],Invoice[Type of Shipment])</f>
        <v>Forward charges</v>
      </c>
      <c r="T56" t="s">
        <v>119</v>
      </c>
      <c r="U56">
        <f>_xlfn.XLOOKUP(Table811[[#This Row],[Ext Order No]],Invoice[Order ID],Invoice[Billing Amount (Rs.)],"not found")</f>
        <v>90.2</v>
      </c>
      <c r="V5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56">
        <f>_xlfn.XLOOKUP(Table811[[#This Row],[Ext Order No]],Invoice[Order ID],Invoice[AWB Code])</f>
        <v>1091117613962</v>
      </c>
      <c r="X56" s="4">
        <f>((Table811[[#This Row],[Courirer Price ]]-Table811[[#This Row],[Expected Price]])/Table811[[#This Row],[Expected Price]])*100</f>
        <v>173.33333333333334</v>
      </c>
      <c r="Y56" s="4" t="str">
        <f>IF(Table811[[#This Row],[%change]]&gt;0,"Over Charged",IF(Table811[[#This Row],[%change]]=0,"Perfectly Charged",IF(Table811[[#This Row],[%change]]&lt;0,"Under Charged")))</f>
        <v>Over Charged</v>
      </c>
    </row>
    <row r="57" spans="1:25" x14ac:dyDescent="0.3">
      <c r="A57">
        <v>2001817093</v>
      </c>
      <c r="B57" t="s">
        <v>45</v>
      </c>
      <c r="C57">
        <v>1</v>
      </c>
      <c r="D57">
        <f>_xlfn.XLOOKUP(Order_Report10[[#This Row],[SKU]],SKU_Master[SKU],SKU_Master[Weight (g)],"not found")</f>
        <v>140</v>
      </c>
      <c r="E57">
        <f>Order_Report10[[#This Row],[order weight ]]*Order_Report10[[#This Row],[Order Qty]]</f>
        <v>140</v>
      </c>
      <c r="N57" s="1">
        <v>2001808992</v>
      </c>
      <c r="O57">
        <f>SUMIFS(Order_Report10[_total weight ],Order_Report10[ExternOrderNo],$N57)</f>
        <v>500</v>
      </c>
      <c r="P57">
        <f>CEILING(Table811[[#This Row],[Total weight ]],0.5)</f>
        <v>500</v>
      </c>
      <c r="Q57" t="str">
        <f>_xlfn.XLOOKUP(Table811[[#This Row],[Ext Order No]],Invoice[Order ID],Invoice[Zone])</f>
        <v>d</v>
      </c>
      <c r="R57" t="str">
        <f>IF(pincodes[[#Headers],[Matching status]]="matched",'(abc)pincodes'!C56,'(abc)pincodes'!C56)</f>
        <v>b</v>
      </c>
      <c r="S57" t="str">
        <f>_xlfn.XLOOKUP(Table811[[#This Row],[ABC area ]],Invoice[Zone],Invoice[Type of Shipment])</f>
        <v>Forward charges</v>
      </c>
      <c r="T57" t="s">
        <v>119</v>
      </c>
      <c r="U57">
        <f>_xlfn.XLOOKUP(Table811[[#This Row],[Ext Order No]],Invoice[Order ID],Invoice[Billing Amount (Rs.)],"not found")</f>
        <v>90.2</v>
      </c>
      <c r="V5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57">
        <f>_xlfn.XLOOKUP(Table811[[#This Row],[Ext Order No]],Invoice[Order ID],Invoice[AWB Code])</f>
        <v>1091117611501</v>
      </c>
      <c r="X57" s="4">
        <f>((Table811[[#This Row],[Courirer Price ]]-Table811[[#This Row],[Expected Price]])/Table811[[#This Row],[Expected Price]])*100</f>
        <v>173.33333333333334</v>
      </c>
      <c r="Y57" s="4" t="str">
        <f>IF(Table811[[#This Row],[%change]]&gt;0,"Over Charged",IF(Table811[[#This Row],[%change]]=0,"Perfectly Charged",IF(Table811[[#This Row],[%change]]&lt;0,"Under Charged")))</f>
        <v>Over Charged</v>
      </c>
    </row>
    <row r="58" spans="1:25" x14ac:dyDescent="0.3">
      <c r="A58">
        <v>2001817093</v>
      </c>
      <c r="B58" t="s">
        <v>54</v>
      </c>
      <c r="C58">
        <v>2</v>
      </c>
      <c r="D58">
        <f>_xlfn.XLOOKUP(Order_Report10[[#This Row],[SKU]],SKU_Master[SKU],SKU_Master[Weight (g)],"not found")</f>
        <v>112</v>
      </c>
      <c r="E58">
        <f>Order_Report10[[#This Row],[order weight ]]*Order_Report10[[#This Row],[Order Qty]]</f>
        <v>224</v>
      </c>
      <c r="N58" s="2">
        <v>2001808883</v>
      </c>
      <c r="O58">
        <f>SUMIFS(Order_Report10[_total weight ],Order_Report10[ExternOrderNo],$N58)</f>
        <v>500</v>
      </c>
      <c r="P58">
        <f>CEILING(Table811[[#This Row],[Total weight ]],0.5)</f>
        <v>500</v>
      </c>
      <c r="Q58" t="str">
        <f>_xlfn.XLOOKUP(Table811[[#This Row],[Ext Order No]],Invoice[Order ID],Invoice[Zone])</f>
        <v>d</v>
      </c>
      <c r="R58" t="str">
        <f>IF(pincodes[[#Headers],[Matching status]]="matched",'(abc)pincodes'!C57,'(abc)pincodes'!C57)</f>
        <v>d</v>
      </c>
      <c r="S58" t="str">
        <f>_xlfn.XLOOKUP(Table811[[#This Row],[ABC area ]],Invoice[Zone],Invoice[Type of Shipment])</f>
        <v>Forward charges</v>
      </c>
      <c r="T58" t="s">
        <v>119</v>
      </c>
      <c r="U58">
        <f>_xlfn.XLOOKUP(Table811[[#This Row],[Ext Order No]],Invoice[Order ID],Invoice[Billing Amount (Rs.)],"not found")</f>
        <v>90.2</v>
      </c>
      <c r="V58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8">
        <f>_xlfn.XLOOKUP(Table811[[#This Row],[Ext Order No]],Invoice[Order ID],Invoice[AWB Code])</f>
        <v>1091117438074</v>
      </c>
      <c r="X58" s="4">
        <f>((Table811[[#This Row],[Courirer Price ]]-Table811[[#This Row],[Expected Price]])/Table811[[#This Row],[Expected Price]])*100</f>
        <v>98.678414096916313</v>
      </c>
      <c r="Y58" s="4" t="str">
        <f>IF(Table811[[#This Row],[%change]]&gt;0,"Over Charged",IF(Table811[[#This Row],[%change]]=0,"Perfectly Charged",IF(Table811[[#This Row],[%change]]&lt;0,"Under Charged")))</f>
        <v>Over Charged</v>
      </c>
    </row>
    <row r="59" spans="1:25" x14ac:dyDescent="0.3">
      <c r="A59">
        <v>2001817093</v>
      </c>
      <c r="B59" t="s">
        <v>36</v>
      </c>
      <c r="C59">
        <v>2</v>
      </c>
      <c r="D59">
        <f>_xlfn.XLOOKUP(Order_Report10[[#This Row],[SKU]],SKU_Master[SKU],SKU_Master[Weight (g)],"not found")</f>
        <v>112</v>
      </c>
      <c r="E59">
        <f>Order_Report10[[#This Row],[order weight ]]*Order_Report10[[#This Row],[Order Qty]]</f>
        <v>224</v>
      </c>
      <c r="N59" s="1">
        <v>2001808837</v>
      </c>
      <c r="O59">
        <f>SUMIFS(Order_Report10[_total weight ],Order_Report10[ExternOrderNo],$N59)</f>
        <v>500</v>
      </c>
      <c r="P59">
        <f>CEILING(Table811[[#This Row],[Total weight ]],0.5)</f>
        <v>500</v>
      </c>
      <c r="Q59" t="str">
        <f>_xlfn.XLOOKUP(Table811[[#This Row],[Ext Order No]],Invoice[Order ID],Invoice[Zone])</f>
        <v>d</v>
      </c>
      <c r="R59" t="str">
        <f>IF(pincodes[[#Headers],[Matching status]]="matched",'(abc)pincodes'!C58,'(abc)pincodes'!C58)</f>
        <v>d</v>
      </c>
      <c r="S59" t="str">
        <f>_xlfn.XLOOKUP(Table811[[#This Row],[ABC area ]],Invoice[Zone],Invoice[Type of Shipment])</f>
        <v>Forward charges</v>
      </c>
      <c r="T59" t="s">
        <v>119</v>
      </c>
      <c r="U59">
        <f>_xlfn.XLOOKUP(Table811[[#This Row],[Ext Order No]],Invoice[Order ID],Invoice[Billing Amount (Rs.)],"not found")</f>
        <v>90.2</v>
      </c>
      <c r="V59">
        <f>IF(AND(Table811[[#This Row],[Shipment short_1]]="fwd",Table811[[#This Row],[ABC area ]]="d"),'Courier Company - Rates'!G$8,IF(AND(Table811[[#This Row],[Shipment short_1]]="fwd",Table811[[#This Row],[ABC area ]]="b"),'Courier Company - Rates'!G$7))</f>
        <v>45.4</v>
      </c>
      <c r="W59">
        <f>_xlfn.XLOOKUP(Table811[[#This Row],[Ext Order No]],Invoice[Order ID],Invoice[AWB Code])</f>
        <v>1091117437890</v>
      </c>
      <c r="X59" s="4">
        <f>((Table811[[#This Row],[Courirer Price ]]-Table811[[#This Row],[Expected Price]])/Table811[[#This Row],[Expected Price]])*100</f>
        <v>98.678414096916313</v>
      </c>
      <c r="Y59" s="4" t="str">
        <f>IF(Table811[[#This Row],[%change]]&gt;0,"Over Charged",IF(Table811[[#This Row],[%change]]=0,"Perfectly Charged",IF(Table811[[#This Row],[%change]]&lt;0,"Under Charged")))</f>
        <v>Over Charged</v>
      </c>
    </row>
    <row r="60" spans="1:25" x14ac:dyDescent="0.3">
      <c r="A60">
        <v>2001817093</v>
      </c>
      <c r="B60" t="s">
        <v>35</v>
      </c>
      <c r="C60">
        <v>2</v>
      </c>
      <c r="D60">
        <f>_xlfn.XLOOKUP(Order_Report10[[#This Row],[SKU]],SKU_Master[SKU],SKU_Master[Weight (g)],"not found")</f>
        <v>112</v>
      </c>
      <c r="E60">
        <f>Order_Report10[[#This Row],[order weight ]]*Order_Report10[[#This Row],[Order Qty]]</f>
        <v>224</v>
      </c>
      <c r="N60" s="2">
        <v>2001808832</v>
      </c>
      <c r="O60">
        <f>SUMIFS(Order_Report10[_total weight ],Order_Report10[ExternOrderNo],$N60)</f>
        <v>600</v>
      </c>
      <c r="P60">
        <f>CEILING(Table811[[#This Row],[Total weight ]],0.5)</f>
        <v>600</v>
      </c>
      <c r="Q60" t="str">
        <f>_xlfn.XLOOKUP(Table811[[#This Row],[Ext Order No]],Invoice[Order ID],Invoice[Zone])</f>
        <v>d</v>
      </c>
      <c r="R60" t="str">
        <f>IF(pincodes[[#Headers],[Matching status]]="matched",'(abc)pincodes'!C59,'(abc)pincodes'!C59)</f>
        <v>b</v>
      </c>
      <c r="S60" t="str">
        <f>_xlfn.XLOOKUP(Table811[[#This Row],[ABC area ]],Invoice[Zone],Invoice[Type of Shipment])</f>
        <v>Forward charges</v>
      </c>
      <c r="T60" t="s">
        <v>119</v>
      </c>
      <c r="U60">
        <f>_xlfn.XLOOKUP(Table811[[#This Row],[Ext Order No]],Invoice[Order ID],Invoice[Billing Amount (Rs.)],"not found")</f>
        <v>224.6</v>
      </c>
      <c r="V6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0">
        <f>_xlfn.XLOOKUP(Table811[[#This Row],[Ext Order No]],Invoice[Order ID],Invoice[AWB Code])</f>
        <v>1091117437864</v>
      </c>
      <c r="X60" s="4">
        <f>((Table811[[#This Row],[Courirer Price ]]-Table811[[#This Row],[Expected Price]])/Table811[[#This Row],[Expected Price]])*100</f>
        <v>580.60606060606062</v>
      </c>
      <c r="Y60" s="4" t="str">
        <f>IF(Table811[[#This Row],[%change]]&gt;0,"Over Charged",IF(Table811[[#This Row],[%change]]=0,"Perfectly Charged",IF(Table811[[#This Row],[%change]]&lt;0,"Under Charged")))</f>
        <v>Over Charged</v>
      </c>
    </row>
    <row r="61" spans="1:25" x14ac:dyDescent="0.3">
      <c r="A61">
        <v>2001817093</v>
      </c>
      <c r="B61" t="s">
        <v>17</v>
      </c>
      <c r="C61">
        <v>1</v>
      </c>
      <c r="D61">
        <f>_xlfn.XLOOKUP(Order_Report10[[#This Row],[SKU]],SKU_Master[SKU],SKU_Master[Weight (g)],"not found")</f>
        <v>115</v>
      </c>
      <c r="E61">
        <f>Order_Report10[[#This Row],[order weight ]]*Order_Report10[[#This Row],[Order Qty]]</f>
        <v>115</v>
      </c>
      <c r="N61" s="1">
        <v>2001808801</v>
      </c>
      <c r="O61">
        <f>SUMIFS(Order_Report10[_total weight ],Order_Report10[ExternOrderNo],$N61)</f>
        <v>731</v>
      </c>
      <c r="P61">
        <f>CEILING(Table811[[#This Row],[Total weight ]],0.5)</f>
        <v>731</v>
      </c>
      <c r="Q61" t="str">
        <f>_xlfn.XLOOKUP(Table811[[#This Row],[Ext Order No]],Invoice[Order ID],Invoice[Zone])</f>
        <v>d</v>
      </c>
      <c r="R61" t="str">
        <f>IF(pincodes[[#Headers],[Matching status]]="matched",'(abc)pincodes'!C60,'(abc)pincodes'!C60)</f>
        <v>b</v>
      </c>
      <c r="S61" t="str">
        <f>_xlfn.XLOOKUP(Table811[[#This Row],[ABC area ]],Invoice[Zone],Invoice[Type of Shipment])</f>
        <v>Forward charges</v>
      </c>
      <c r="T61" t="s">
        <v>119</v>
      </c>
      <c r="U61">
        <f>_xlfn.XLOOKUP(Table811[[#This Row],[Ext Order No]],Invoice[Order ID],Invoice[Billing Amount (Rs.)],"not found")</f>
        <v>90.2</v>
      </c>
      <c r="V6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1">
        <f>_xlfn.XLOOKUP(Table811[[#This Row],[Ext Order No]],Invoice[Order ID],Invoice[AWB Code])</f>
        <v>1091117437680</v>
      </c>
      <c r="X61" s="4">
        <f>((Table811[[#This Row],[Courirer Price ]]-Table811[[#This Row],[Expected Price]])/Table811[[#This Row],[Expected Price]])*100</f>
        <v>173.33333333333334</v>
      </c>
      <c r="Y61" s="4" t="str">
        <f>IF(Table811[[#This Row],[%change]]&gt;0,"Over Charged",IF(Table811[[#This Row],[%change]]=0,"Perfectly Charged",IF(Table811[[#This Row],[%change]]&lt;0,"Under Charged")))</f>
        <v>Over Charged</v>
      </c>
    </row>
    <row r="62" spans="1:25" x14ac:dyDescent="0.3">
      <c r="A62">
        <v>2001816996</v>
      </c>
      <c r="B62" t="s">
        <v>25</v>
      </c>
      <c r="C62">
        <v>1</v>
      </c>
      <c r="D62">
        <f>_xlfn.XLOOKUP(Order_Report10[[#This Row],[SKU]],SKU_Master[SKU],SKU_Master[Weight (g)],"not found")</f>
        <v>127</v>
      </c>
      <c r="E62">
        <f>Order_Report10[[#This Row],[order weight ]]*Order_Report10[[#This Row],[Order Qty]]</f>
        <v>127</v>
      </c>
      <c r="N62" s="1">
        <v>2001808739</v>
      </c>
      <c r="O62">
        <f>SUMIFS(Order_Report10[_total weight ],Order_Report10[ExternOrderNo],$N62)</f>
        <v>220</v>
      </c>
      <c r="P62">
        <f>CEILING(Table811[[#This Row],[Total weight ]],0.5)</f>
        <v>220</v>
      </c>
      <c r="Q62" t="str">
        <f>_xlfn.XLOOKUP(Table811[[#This Row],[Ext Order No]],Invoice[Order ID],Invoice[Zone])</f>
        <v>d</v>
      </c>
      <c r="R62" t="str">
        <f>IF(pincodes[[#Headers],[Matching status]]="matched",'(abc)pincodes'!C61,'(abc)pincodes'!C61)</f>
        <v>b</v>
      </c>
      <c r="S62" t="str">
        <f>_xlfn.XLOOKUP(Table811[[#This Row],[ABC area ]],Invoice[Zone],Invoice[Type of Shipment])</f>
        <v>Forward charges</v>
      </c>
      <c r="T62" t="s">
        <v>119</v>
      </c>
      <c r="U62">
        <f>_xlfn.XLOOKUP(Table811[[#This Row],[Ext Order No]],Invoice[Order ID],Invoice[Billing Amount (Rs.)],"not found")</f>
        <v>179.8</v>
      </c>
      <c r="V62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2">
        <f>_xlfn.XLOOKUP(Table811[[#This Row],[Ext Order No]],Invoice[Order ID],Invoice[AWB Code])</f>
        <v>1091117437293</v>
      </c>
      <c r="X62" s="4">
        <f>((Table811[[#This Row],[Courirer Price ]]-Table811[[#This Row],[Expected Price]])/Table811[[#This Row],[Expected Price]])*100</f>
        <v>444.84848484848493</v>
      </c>
      <c r="Y62" s="4" t="str">
        <f>IF(Table811[[#This Row],[%change]]&gt;0,"Over Charged",IF(Table811[[#This Row],[%change]]=0,"Perfectly Charged",IF(Table811[[#This Row],[%change]]&lt;0,"Under Charged")))</f>
        <v>Over Charged</v>
      </c>
    </row>
    <row r="63" spans="1:25" x14ac:dyDescent="0.3">
      <c r="A63">
        <v>2001816996</v>
      </c>
      <c r="B63" t="s">
        <v>34</v>
      </c>
      <c r="C63">
        <v>1</v>
      </c>
      <c r="D63">
        <f>_xlfn.XLOOKUP(Order_Report10[[#This Row],[SKU]],SKU_Master[SKU],SKU_Master[Weight (g)],"not found")</f>
        <v>133</v>
      </c>
      <c r="E63">
        <f>Order_Report10[[#This Row],[order weight ]]*Order_Report10[[#This Row],[Order Qty]]</f>
        <v>133</v>
      </c>
      <c r="N63" s="1">
        <v>2001808679</v>
      </c>
      <c r="O63">
        <f>SUMIFS(Order_Report10[_total weight ],Order_Report10[ExternOrderNo],$N63)</f>
        <v>500</v>
      </c>
      <c r="P63">
        <f>CEILING(Table811[[#This Row],[Total weight ]],0.5)</f>
        <v>500</v>
      </c>
      <c r="Q63" t="str">
        <f>_xlfn.XLOOKUP(Table811[[#This Row],[Ext Order No]],Invoice[Order ID],Invoice[Zone])</f>
        <v>d</v>
      </c>
      <c r="R63" t="str">
        <f>IF(pincodes[[#Headers],[Matching status]]="matched",'(abc)pincodes'!C62,'(abc)pincodes'!C62)</f>
        <v>b</v>
      </c>
      <c r="S63" t="str">
        <f>_xlfn.XLOOKUP(Table811[[#This Row],[ABC area ]],Invoice[Zone],Invoice[Type of Shipment])</f>
        <v>Forward charges</v>
      </c>
      <c r="T63" t="s">
        <v>119</v>
      </c>
      <c r="U63">
        <f>_xlfn.XLOOKUP(Table811[[#This Row],[Ext Order No]],Invoice[Order ID],Invoice[Billing Amount (Rs.)],"not found")</f>
        <v>90.2</v>
      </c>
      <c r="V6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3">
        <f>_xlfn.XLOOKUP(Table811[[#This Row],[Ext Order No]],Invoice[Order ID],Invoice[AWB Code])</f>
        <v>1091117437035</v>
      </c>
      <c r="X63" s="4">
        <f>((Table811[[#This Row],[Courirer Price ]]-Table811[[#This Row],[Expected Price]])/Table811[[#This Row],[Expected Price]])*100</f>
        <v>173.33333333333334</v>
      </c>
      <c r="Y63" s="4" t="str">
        <f>IF(Table811[[#This Row],[%change]]&gt;0,"Over Charged",IF(Table811[[#This Row],[%change]]=0,"Perfectly Charged",IF(Table811[[#This Row],[%change]]&lt;0,"Under Charged")))</f>
        <v>Over Charged</v>
      </c>
    </row>
    <row r="64" spans="1:25" x14ac:dyDescent="0.3">
      <c r="A64">
        <v>2001816996</v>
      </c>
      <c r="B64" t="s">
        <v>30</v>
      </c>
      <c r="C64">
        <v>1</v>
      </c>
      <c r="D64">
        <f>_xlfn.XLOOKUP(Order_Report10[[#This Row],[SKU]],SKU_Master[SKU],SKU_Master[Weight (g)],"not found")</f>
        <v>240</v>
      </c>
      <c r="E64">
        <f>Order_Report10[[#This Row],[order weight ]]*Order_Report10[[#This Row],[Order Qty]]</f>
        <v>240</v>
      </c>
      <c r="N64" s="2">
        <v>2001808675</v>
      </c>
      <c r="O64">
        <f>SUMIFS(Order_Report10[_total weight ],Order_Report10[ExternOrderNo],$N64)</f>
        <v>1183</v>
      </c>
      <c r="P64">
        <f>CEILING(Table811[[#This Row],[Total weight ]],0.5)</f>
        <v>1183</v>
      </c>
      <c r="Q64" t="str">
        <f>_xlfn.XLOOKUP(Table811[[#This Row],[Ext Order No]],Invoice[Order ID],Invoice[Zone])</f>
        <v>b</v>
      </c>
      <c r="R64" t="str">
        <f>IF(pincodes[[#Headers],[Matching status]]="matched",'(abc)pincodes'!C63,'(abc)pincodes'!C63)</f>
        <v>b</v>
      </c>
      <c r="S64" t="str">
        <f>_xlfn.XLOOKUP(Table811[[#This Row],[ABC area ]],Invoice[Zone],Invoice[Type of Shipment])</f>
        <v>Forward charges</v>
      </c>
      <c r="T64" t="s">
        <v>119</v>
      </c>
      <c r="U64">
        <f>_xlfn.XLOOKUP(Table811[[#This Row],[Ext Order No]],Invoice[Order ID],Invoice[Billing Amount (Rs.)],"not found")</f>
        <v>89.6</v>
      </c>
      <c r="V64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4">
        <f>_xlfn.XLOOKUP(Table811[[#This Row],[Ext Order No]],Invoice[Order ID],Invoice[AWB Code])</f>
        <v>1091117437050</v>
      </c>
      <c r="X64" s="4">
        <f>((Table811[[#This Row],[Courirer Price ]]-Table811[[#This Row],[Expected Price]])/Table811[[#This Row],[Expected Price]])*100</f>
        <v>171.5151515151515</v>
      </c>
      <c r="Y64" s="4" t="str">
        <f>IF(Table811[[#This Row],[%change]]&gt;0,"Over Charged",IF(Table811[[#This Row],[%change]]=0,"Perfectly Charged",IF(Table811[[#This Row],[%change]]&lt;0,"Under Charged")))</f>
        <v>Over Charged</v>
      </c>
    </row>
    <row r="65" spans="1:25" x14ac:dyDescent="0.3">
      <c r="A65">
        <v>2001816684</v>
      </c>
      <c r="B65" t="s">
        <v>10</v>
      </c>
      <c r="C65">
        <v>2</v>
      </c>
      <c r="D65">
        <f>_xlfn.XLOOKUP(Order_Report10[[#This Row],[SKU]],SKU_Master[SKU],SKU_Master[Weight (g)],"not found")</f>
        <v>120</v>
      </c>
      <c r="E65">
        <f>Order_Report10[[#This Row],[order weight ]]*Order_Report10[[#This Row],[Order Qty]]</f>
        <v>240</v>
      </c>
      <c r="N65" s="2">
        <v>2001808585</v>
      </c>
      <c r="O65">
        <f>SUMIFS(Order_Report10[_total weight ],Order_Report10[ExternOrderNo],$N65)</f>
        <v>500</v>
      </c>
      <c r="P65">
        <f>CEILING(Table811[[#This Row],[Total weight ]],0.5)</f>
        <v>500</v>
      </c>
      <c r="Q65" t="str">
        <f>_xlfn.XLOOKUP(Table811[[#This Row],[Ext Order No]],Invoice[Order ID],Invoice[Zone])</f>
        <v>b</v>
      </c>
      <c r="R65" t="str">
        <f>IF(pincodes[[#Headers],[Matching status]]="matched",'(abc)pincodes'!C64,'(abc)pincodes'!C64)</f>
        <v>b</v>
      </c>
      <c r="S65" t="str">
        <f>_xlfn.XLOOKUP(Table811[[#This Row],[ABC area ]],Invoice[Zone],Invoice[Type of Shipment])</f>
        <v>Forward charges</v>
      </c>
      <c r="T65" t="s">
        <v>119</v>
      </c>
      <c r="U65">
        <f>_xlfn.XLOOKUP(Table811[[#This Row],[Ext Order No]],Invoice[Order ID],Invoice[Billing Amount (Rs.)],"not found")</f>
        <v>61.3</v>
      </c>
      <c r="V6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5">
        <f>_xlfn.XLOOKUP(Table811[[#This Row],[Ext Order No]],Invoice[Order ID],Invoice[AWB Code])</f>
        <v>1091117436652</v>
      </c>
      <c r="X65" s="4">
        <f>((Table811[[#This Row],[Courirer Price ]]-Table811[[#This Row],[Expected Price]])/Table811[[#This Row],[Expected Price]])*100</f>
        <v>85.757575757575751</v>
      </c>
      <c r="Y65" s="4" t="str">
        <f>IF(Table811[[#This Row],[%change]]&gt;0,"Over Charged",IF(Table811[[#This Row],[%change]]=0,"Perfectly Charged",IF(Table811[[#This Row],[%change]]&lt;0,"Under Charged")))</f>
        <v>Over Charged</v>
      </c>
    </row>
    <row r="66" spans="1:25" x14ac:dyDescent="0.3">
      <c r="A66">
        <v>2001816684</v>
      </c>
      <c r="B66" t="s">
        <v>32</v>
      </c>
      <c r="C66">
        <v>2</v>
      </c>
      <c r="D66">
        <f>_xlfn.XLOOKUP(Order_Report10[[#This Row],[SKU]],SKU_Master[SKU],SKU_Master[Weight (g)],"not found")</f>
        <v>100</v>
      </c>
      <c r="E66">
        <f>Order_Report10[[#This Row],[order weight ]]*Order_Report10[[#This Row],[Order Qty]]</f>
        <v>200</v>
      </c>
      <c r="N66" s="1">
        <v>2001808542</v>
      </c>
      <c r="O66">
        <f>SUMIFS(Order_Report10[_total weight ],Order_Report10[ExternOrderNo],$N66)</f>
        <v>734</v>
      </c>
      <c r="P66">
        <f>CEILING(Table811[[#This Row],[Total weight ]],0.5)</f>
        <v>734</v>
      </c>
      <c r="Q66" t="str">
        <f>_xlfn.XLOOKUP(Table811[[#This Row],[Ext Order No]],Invoice[Order ID],Invoice[Zone])</f>
        <v>d</v>
      </c>
      <c r="R66" t="str">
        <f>IF(pincodes[[#Headers],[Matching status]]="matched",'(abc)pincodes'!C65,'(abc)pincodes'!C65)</f>
        <v>b</v>
      </c>
      <c r="S66" t="str">
        <f>_xlfn.XLOOKUP(Table811[[#This Row],[ABC area ]],Invoice[Zone],Invoice[Type of Shipment])</f>
        <v>Forward charges</v>
      </c>
      <c r="T66" t="s">
        <v>119</v>
      </c>
      <c r="U66">
        <f>_xlfn.XLOOKUP(Table811[[#This Row],[Ext Order No]],Invoice[Order ID],Invoice[Billing Amount (Rs.)],"not found")</f>
        <v>90.2</v>
      </c>
      <c r="V6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6">
        <f>_xlfn.XLOOKUP(Table811[[#This Row],[Ext Order No]],Invoice[Order ID],Invoice[AWB Code])</f>
        <v>1091117436464</v>
      </c>
      <c r="X66" s="4">
        <f>((Table811[[#This Row],[Courirer Price ]]-Table811[[#This Row],[Expected Price]])/Table811[[#This Row],[Expected Price]])*100</f>
        <v>173.33333333333334</v>
      </c>
      <c r="Y66" s="4" t="str">
        <f>IF(Table811[[#This Row],[%change]]&gt;0,"Over Charged",IF(Table811[[#This Row],[%change]]=0,"Perfectly Charged",IF(Table811[[#This Row],[%change]]&lt;0,"Under Charged")))</f>
        <v>Over Charged</v>
      </c>
    </row>
    <row r="67" spans="1:25" x14ac:dyDescent="0.3">
      <c r="A67">
        <v>2001816684</v>
      </c>
      <c r="B67" t="s">
        <v>31</v>
      </c>
      <c r="C67">
        <v>4</v>
      </c>
      <c r="D67">
        <f>_xlfn.XLOOKUP(Order_Report10[[#This Row],[SKU]],SKU_Master[SKU],SKU_Master[Weight (g)],"not found")</f>
        <v>120</v>
      </c>
      <c r="E67">
        <f>Order_Report10[[#This Row],[order weight ]]*Order_Report10[[#This Row],[Order Qty]]</f>
        <v>480</v>
      </c>
      <c r="N67" s="1">
        <v>2001808507</v>
      </c>
      <c r="O67">
        <f>SUMIFS(Order_Report10[_total weight ],Order_Report10[ExternOrderNo],$N67)</f>
        <v>607</v>
      </c>
      <c r="P67">
        <f>CEILING(Table811[[#This Row],[Total weight ]],0.5)</f>
        <v>607</v>
      </c>
      <c r="Q67" t="str">
        <f>_xlfn.XLOOKUP(Table811[[#This Row],[Ext Order No]],Invoice[Order ID],Invoice[Zone])</f>
        <v>b</v>
      </c>
      <c r="R67" t="str">
        <f>IF(pincodes[[#Headers],[Matching status]]="matched",'(abc)pincodes'!C66,'(abc)pincodes'!C66)</f>
        <v>b</v>
      </c>
      <c r="S67" t="str">
        <f>_xlfn.XLOOKUP(Table811[[#This Row],[ABC area ]],Invoice[Zone],Invoice[Type of Shipment])</f>
        <v>Forward charges</v>
      </c>
      <c r="T67" t="s">
        <v>119</v>
      </c>
      <c r="U67">
        <f>_xlfn.XLOOKUP(Table811[[#This Row],[Ext Order No]],Invoice[Order ID],Invoice[Billing Amount (Rs.)],"not found")</f>
        <v>61.3</v>
      </c>
      <c r="V6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7">
        <f>_xlfn.XLOOKUP(Table811[[#This Row],[Ext Order No]],Invoice[Order ID],Invoice[AWB Code])</f>
        <v>1091117436383</v>
      </c>
      <c r="X67" s="4">
        <f>((Table811[[#This Row],[Courirer Price ]]-Table811[[#This Row],[Expected Price]])/Table811[[#This Row],[Expected Price]])*100</f>
        <v>85.757575757575751</v>
      </c>
      <c r="Y67" s="4" t="str">
        <f>IF(Table811[[#This Row],[%change]]&gt;0,"Over Charged",IF(Table811[[#This Row],[%change]]=0,"Perfectly Charged",IF(Table811[[#This Row],[%change]]&lt;0,"Under Charged")))</f>
        <v>Over Charged</v>
      </c>
    </row>
    <row r="68" spans="1:25" x14ac:dyDescent="0.3">
      <c r="A68">
        <v>2001816131</v>
      </c>
      <c r="B68" t="s">
        <v>11</v>
      </c>
      <c r="C68">
        <v>2</v>
      </c>
      <c r="D68">
        <f>_xlfn.XLOOKUP(Order_Report10[[#This Row],[SKU]],SKU_Master[SKU],SKU_Master[Weight (g)],"not found")</f>
        <v>102</v>
      </c>
      <c r="E68">
        <f>Order_Report10[[#This Row],[order weight ]]*Order_Report10[[#This Row],[Order Qty]]</f>
        <v>204</v>
      </c>
      <c r="N68" s="2">
        <v>2001808475</v>
      </c>
      <c r="O68">
        <f>SUMIFS(Order_Report10[_total weight ],Order_Report10[ExternOrderNo],$N68)</f>
        <v>500</v>
      </c>
      <c r="P68">
        <f>CEILING(Table811[[#This Row],[Total weight ]],0.5)</f>
        <v>500</v>
      </c>
      <c r="Q68" t="str">
        <f>_xlfn.XLOOKUP(Table811[[#This Row],[Ext Order No]],Invoice[Order ID],Invoice[Zone])</f>
        <v>d</v>
      </c>
      <c r="R68" t="str">
        <f>IF(pincodes[[#Headers],[Matching status]]="matched",'(abc)pincodes'!C67,'(abc)pincodes'!C67)</f>
        <v>b</v>
      </c>
      <c r="S68" t="str">
        <f>_xlfn.XLOOKUP(Table811[[#This Row],[ABC area ]],Invoice[Zone],Invoice[Type of Shipment])</f>
        <v>Forward charges</v>
      </c>
      <c r="T68" t="s">
        <v>119</v>
      </c>
      <c r="U68">
        <f>_xlfn.XLOOKUP(Table811[[#This Row],[Ext Order No]],Invoice[Order ID],Invoice[Billing Amount (Rs.)],"not found")</f>
        <v>90.2</v>
      </c>
      <c r="V6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8">
        <f>_xlfn.XLOOKUP(Table811[[#This Row],[Ext Order No]],Invoice[Order ID],Invoice[AWB Code])</f>
        <v>1091117436346</v>
      </c>
      <c r="X68" s="4">
        <f>((Table811[[#This Row],[Courirer Price ]]-Table811[[#This Row],[Expected Price]])/Table811[[#This Row],[Expected Price]])*100</f>
        <v>173.33333333333334</v>
      </c>
      <c r="Y68" s="4" t="str">
        <f>IF(Table811[[#This Row],[%change]]&gt;0,"Over Charged",IF(Table811[[#This Row],[%change]]=0,"Perfectly Charged",IF(Table811[[#This Row],[%change]]&lt;0,"Under Charged")))</f>
        <v>Over Charged</v>
      </c>
    </row>
    <row r="69" spans="1:25" x14ac:dyDescent="0.3">
      <c r="A69">
        <v>2001816131</v>
      </c>
      <c r="B69" t="s">
        <v>47</v>
      </c>
      <c r="C69">
        <v>1</v>
      </c>
      <c r="D69">
        <f>_xlfn.XLOOKUP(Order_Report10[[#This Row],[SKU]],SKU_Master[SKU],SKU_Master[Weight (g)],"not found")</f>
        <v>350</v>
      </c>
      <c r="E69">
        <f>Order_Report10[[#This Row],[order weight ]]*Order_Report10[[#This Row],[Order Qty]]</f>
        <v>350</v>
      </c>
      <c r="N69" s="1">
        <v>2001808295</v>
      </c>
      <c r="O69">
        <f>SUMIFS(Order_Report10[_total weight ],Order_Report10[ExternOrderNo],$N69)</f>
        <v>245</v>
      </c>
      <c r="P69">
        <f>CEILING(Table811[[#This Row],[Total weight ]],0.5)</f>
        <v>245</v>
      </c>
      <c r="Q69" t="str">
        <f>_xlfn.XLOOKUP(Table811[[#This Row],[Ext Order No]],Invoice[Order ID],Invoice[Zone])</f>
        <v>e</v>
      </c>
      <c r="R69" t="str">
        <f>IF(pincodes[[#Headers],[Matching status]]="matched",'(abc)pincodes'!C68,'(abc)pincodes'!C68)</f>
        <v>b</v>
      </c>
      <c r="S69" t="str">
        <f>_xlfn.XLOOKUP(Table811[[#This Row],[ABC area ]],Invoice[Zone],Invoice[Type of Shipment])</f>
        <v>Forward charges</v>
      </c>
      <c r="T69" t="s">
        <v>119</v>
      </c>
      <c r="U69">
        <f>_xlfn.XLOOKUP(Table811[[#This Row],[Ext Order No]],Invoice[Order ID],Invoice[Billing Amount (Rs.)],"not found")</f>
        <v>107.3</v>
      </c>
      <c r="V6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69">
        <f>_xlfn.XLOOKUP(Table811[[#This Row],[Ext Order No]],Invoice[Order ID],Invoice[AWB Code])</f>
        <v>1091117435661</v>
      </c>
      <c r="X69" s="4">
        <f>((Table811[[#This Row],[Courirer Price ]]-Table811[[#This Row],[Expected Price]])/Table811[[#This Row],[Expected Price]])*100</f>
        <v>225.15151515151516</v>
      </c>
      <c r="Y69" s="4" t="str">
        <f>IF(Table811[[#This Row],[%change]]&gt;0,"Over Charged",IF(Table811[[#This Row],[%change]]=0,"Perfectly Charged",IF(Table811[[#This Row],[%change]]&lt;0,"Under Charged")))</f>
        <v>Over Charged</v>
      </c>
    </row>
    <row r="70" spans="1:25" x14ac:dyDescent="0.3">
      <c r="A70">
        <v>2001815688</v>
      </c>
      <c r="B70" t="s">
        <v>10</v>
      </c>
      <c r="C70">
        <v>1</v>
      </c>
      <c r="D70">
        <f>_xlfn.XLOOKUP(Order_Report10[[#This Row],[SKU]],SKU_Master[SKU],SKU_Master[Weight (g)],"not found")</f>
        <v>120</v>
      </c>
      <c r="E70">
        <f>Order_Report10[[#This Row],[order weight ]]*Order_Report10[[#This Row],[Order Qty]]</f>
        <v>120</v>
      </c>
      <c r="N70" s="1">
        <v>2001808286</v>
      </c>
      <c r="O70">
        <f>SUMIFS(Order_Report10[_total weight ],Order_Report10[ExternOrderNo],$N70)</f>
        <v>601</v>
      </c>
      <c r="P70">
        <f>CEILING(Table811[[#This Row],[Total weight ]],0.5)</f>
        <v>601</v>
      </c>
      <c r="Q70" t="str">
        <f>_xlfn.XLOOKUP(Table811[[#This Row],[Ext Order No]],Invoice[Order ID],Invoice[Zone])</f>
        <v>d</v>
      </c>
      <c r="R70" t="str">
        <f>IF(pincodes[[#Headers],[Matching status]]="matched",'(abc)pincodes'!C69,'(abc)pincodes'!C69)</f>
        <v>b</v>
      </c>
      <c r="S70" t="str">
        <f>_xlfn.XLOOKUP(Table811[[#This Row],[ABC area ]],Invoice[Zone],Invoice[Type of Shipment])</f>
        <v>Forward charges</v>
      </c>
      <c r="T70" t="s">
        <v>119</v>
      </c>
      <c r="U70">
        <f>_xlfn.XLOOKUP(Table811[[#This Row],[Ext Order No]],Invoice[Order ID],Invoice[Billing Amount (Rs.)],"not found")</f>
        <v>90.2</v>
      </c>
      <c r="V7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0">
        <f>_xlfn.XLOOKUP(Table811[[#This Row],[Ext Order No]],Invoice[Order ID],Invoice[AWB Code])</f>
        <v>1091117435602</v>
      </c>
      <c r="X70" s="4">
        <f>((Table811[[#This Row],[Courirer Price ]]-Table811[[#This Row],[Expected Price]])/Table811[[#This Row],[Expected Price]])*100</f>
        <v>173.33333333333334</v>
      </c>
      <c r="Y70" s="4" t="str">
        <f>IF(Table811[[#This Row],[%change]]&gt;0,"Over Charged",IF(Table811[[#This Row],[%change]]=0,"Perfectly Charged",IF(Table811[[#This Row],[%change]]&lt;0,"Under Charged")))</f>
        <v>Over Charged</v>
      </c>
    </row>
    <row r="71" spans="1:25" x14ac:dyDescent="0.3">
      <c r="A71">
        <v>2001815688</v>
      </c>
      <c r="B71" t="s">
        <v>32</v>
      </c>
      <c r="C71">
        <v>1</v>
      </c>
      <c r="D71">
        <f>_xlfn.XLOOKUP(Order_Report10[[#This Row],[SKU]],SKU_Master[SKU],SKU_Master[Weight (g)],"not found")</f>
        <v>100</v>
      </c>
      <c r="E71">
        <f>Order_Report10[[#This Row],[order weight ]]*Order_Report10[[#This Row],[Order Qty]]</f>
        <v>100</v>
      </c>
      <c r="N71" s="2">
        <v>2001808207</v>
      </c>
      <c r="O71">
        <f>SUMIFS(Order_Report10[_total weight ],Order_Report10[ExternOrderNo],$N71)</f>
        <v>607</v>
      </c>
      <c r="P71">
        <f>CEILING(Table811[[#This Row],[Total weight ]],0.5)</f>
        <v>607</v>
      </c>
      <c r="Q71" t="str">
        <f>_xlfn.XLOOKUP(Table811[[#This Row],[Ext Order No]],Invoice[Order ID],Invoice[Zone])</f>
        <v>d</v>
      </c>
      <c r="R71" t="str">
        <f>IF(pincodes[[#Headers],[Matching status]]="matched",'(abc)pincodes'!C70,'(abc)pincodes'!C70)</f>
        <v>b</v>
      </c>
      <c r="S71" t="str">
        <f>_xlfn.XLOOKUP(Table811[[#This Row],[ABC area ]],Invoice[Zone],Invoice[Type of Shipment])</f>
        <v>Forward charges</v>
      </c>
      <c r="T71" t="s">
        <v>119</v>
      </c>
      <c r="U71">
        <f>_xlfn.XLOOKUP(Table811[[#This Row],[Ext Order No]],Invoice[Order ID],Invoice[Billing Amount (Rs.)],"not found")</f>
        <v>90.2</v>
      </c>
      <c r="V7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1">
        <f>_xlfn.XLOOKUP(Table811[[#This Row],[Ext Order No]],Invoice[Order ID],Invoice[AWB Code])</f>
        <v>1091117435370</v>
      </c>
      <c r="X71" s="4">
        <f>((Table811[[#This Row],[Courirer Price ]]-Table811[[#This Row],[Expected Price]])/Table811[[#This Row],[Expected Price]])*100</f>
        <v>173.33333333333334</v>
      </c>
      <c r="Y71" s="4" t="str">
        <f>IF(Table811[[#This Row],[%change]]&gt;0,"Over Charged",IF(Table811[[#This Row],[%change]]=0,"Perfectly Charged",IF(Table811[[#This Row],[%change]]&lt;0,"Under Charged")))</f>
        <v>Over Charged</v>
      </c>
    </row>
    <row r="72" spans="1:25" x14ac:dyDescent="0.3">
      <c r="A72">
        <v>2001814580</v>
      </c>
      <c r="B72" t="s">
        <v>25</v>
      </c>
      <c r="C72">
        <v>1</v>
      </c>
      <c r="D72">
        <f>_xlfn.XLOOKUP(Order_Report10[[#This Row],[SKU]],SKU_Master[SKU],SKU_Master[Weight (g)],"not found")</f>
        <v>127</v>
      </c>
      <c r="E72">
        <f>Order_Report10[[#This Row],[order weight ]]*Order_Report10[[#This Row],[Order Qty]]</f>
        <v>127</v>
      </c>
      <c r="N72" s="1">
        <v>2001808118</v>
      </c>
      <c r="O72">
        <f>SUMIFS(Order_Report10[_total weight ],Order_Report10[ExternOrderNo],$N72)</f>
        <v>343</v>
      </c>
      <c r="P72">
        <f>CEILING(Table811[[#This Row],[Total weight ]],0.5)</f>
        <v>343</v>
      </c>
      <c r="Q72" t="str">
        <f>_xlfn.XLOOKUP(Table811[[#This Row],[Ext Order No]],Invoice[Order ID],Invoice[Zone])</f>
        <v>b</v>
      </c>
      <c r="R72" t="str">
        <f>IF(pincodes[[#Headers],[Matching status]]="matched",'(abc)pincodes'!C71,'(abc)pincodes'!C71)</f>
        <v>b</v>
      </c>
      <c r="S72" t="str">
        <f>_xlfn.XLOOKUP(Table811[[#This Row],[ABC area ]],Invoice[Zone],Invoice[Type of Shipment])</f>
        <v>Forward charges</v>
      </c>
      <c r="T72" t="s">
        <v>119</v>
      </c>
      <c r="U72">
        <f>_xlfn.XLOOKUP(Table811[[#This Row],[Ext Order No]],Invoice[Order ID],Invoice[Billing Amount (Rs.)],"not found")</f>
        <v>33</v>
      </c>
      <c r="V72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2">
        <f>_xlfn.XLOOKUP(Table811[[#This Row],[Ext Order No]],Invoice[Order ID],Invoice[AWB Code])</f>
        <v>1091117435134</v>
      </c>
      <c r="X72" s="4">
        <f>((Table811[[#This Row],[Courirer Price ]]-Table811[[#This Row],[Expected Price]])/Table811[[#This Row],[Expected Price]])*100</f>
        <v>0</v>
      </c>
      <c r="Y72" s="4" t="str">
        <f>IF(Table811[[#This Row],[%change]]&gt;0,"Over Charged",IF(Table811[[#This Row],[%change]]=0,"Perfectly Charged",IF(Table811[[#This Row],[%change]]&lt;0,"Under Charged")))</f>
        <v>Perfectly Charged</v>
      </c>
    </row>
    <row r="73" spans="1:25" x14ac:dyDescent="0.3">
      <c r="A73">
        <v>2001813009</v>
      </c>
      <c r="B73" t="s">
        <v>10</v>
      </c>
      <c r="C73">
        <v>1</v>
      </c>
      <c r="D73">
        <f>_xlfn.XLOOKUP(Order_Report10[[#This Row],[SKU]],SKU_Master[SKU],SKU_Master[Weight (g)],"not found")</f>
        <v>120</v>
      </c>
      <c r="E73">
        <f>Order_Report10[[#This Row],[order weight ]]*Order_Report10[[#This Row],[Order Qty]]</f>
        <v>120</v>
      </c>
      <c r="N73" s="2">
        <v>2001808102</v>
      </c>
      <c r="O73">
        <f>SUMIFS(Order_Report10[_total weight ],Order_Report10[ExternOrderNo],$N73)</f>
        <v>1157</v>
      </c>
      <c r="P73">
        <f>CEILING(Table811[[#This Row],[Total weight ]],0.5)</f>
        <v>1157</v>
      </c>
      <c r="Q73" t="str">
        <f>_xlfn.XLOOKUP(Table811[[#This Row],[Ext Order No]],Invoice[Order ID],Invoice[Zone])</f>
        <v>d</v>
      </c>
      <c r="R73" t="str">
        <f>IF(pincodes[[#Headers],[Matching status]]="matched",'(abc)pincodes'!C72,'(abc)pincodes'!C72)</f>
        <v>b</v>
      </c>
      <c r="S73" t="str">
        <f>_xlfn.XLOOKUP(Table811[[#This Row],[ABC area ]],Invoice[Zone],Invoice[Type of Shipment])</f>
        <v>Forward charges</v>
      </c>
      <c r="T73" t="s">
        <v>119</v>
      </c>
      <c r="U73">
        <f>_xlfn.XLOOKUP(Table811[[#This Row],[Ext Order No]],Invoice[Order ID],Invoice[Billing Amount (Rs.)],"not found")</f>
        <v>135</v>
      </c>
      <c r="V7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3">
        <f>_xlfn.XLOOKUP(Table811[[#This Row],[Ext Order No]],Invoice[Order ID],Invoice[AWB Code])</f>
        <v>1091117435005</v>
      </c>
      <c r="X73" s="4">
        <f>((Table811[[#This Row],[Courirer Price ]]-Table811[[#This Row],[Expected Price]])/Table811[[#This Row],[Expected Price]])*100</f>
        <v>309.09090909090907</v>
      </c>
      <c r="Y73" s="4" t="str">
        <f>IF(Table811[[#This Row],[%change]]&gt;0,"Over Charged",IF(Table811[[#This Row],[%change]]=0,"Perfectly Charged",IF(Table811[[#This Row],[%change]]&lt;0,"Under Charged")))</f>
        <v>Over Charged</v>
      </c>
    </row>
    <row r="74" spans="1:25" x14ac:dyDescent="0.3">
      <c r="A74">
        <v>2001813009</v>
      </c>
      <c r="B74" t="s">
        <v>32</v>
      </c>
      <c r="C74">
        <v>1</v>
      </c>
      <c r="D74">
        <f>_xlfn.XLOOKUP(Order_Report10[[#This Row],[SKU]],SKU_Master[SKU],SKU_Master[Weight (g)],"not found")</f>
        <v>100</v>
      </c>
      <c r="E74">
        <f>Order_Report10[[#This Row],[order weight ]]*Order_Report10[[#This Row],[Order Qty]]</f>
        <v>100</v>
      </c>
      <c r="N74" s="2">
        <v>2001807981</v>
      </c>
      <c r="O74">
        <f>SUMIFS(Order_Report10[_total weight ],Order_Report10[ExternOrderNo],$N74)</f>
        <v>500</v>
      </c>
      <c r="P74">
        <f>CEILING(Table811[[#This Row],[Total weight ]],0.5)</f>
        <v>500</v>
      </c>
      <c r="Q74" t="str">
        <f>_xlfn.XLOOKUP(Table811[[#This Row],[Ext Order No]],Invoice[Order ID],Invoice[Zone])</f>
        <v>d</v>
      </c>
      <c r="R74" t="str">
        <f>IF(pincodes[[#Headers],[Matching status]]="matched",'(abc)pincodes'!C73,'(abc)pincodes'!C73)</f>
        <v>b</v>
      </c>
      <c r="S74" t="str">
        <f>_xlfn.XLOOKUP(Table811[[#This Row],[ABC area ]],Invoice[Zone],Invoice[Type of Shipment])</f>
        <v>Forward charges</v>
      </c>
      <c r="T74" t="s">
        <v>119</v>
      </c>
      <c r="U74">
        <f>_xlfn.XLOOKUP(Table811[[#This Row],[Ext Order No]],Invoice[Order ID],Invoice[Billing Amount (Rs.)],"not found")</f>
        <v>45.4</v>
      </c>
      <c r="V74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4">
        <f>_xlfn.XLOOKUP(Table811[[#This Row],[Ext Order No]],Invoice[Order ID],Invoice[AWB Code])</f>
        <v>1091117327570</v>
      </c>
      <c r="X74" s="4">
        <f>((Table811[[#This Row],[Courirer Price ]]-Table811[[#This Row],[Expected Price]])/Table811[[#This Row],[Expected Price]])*100</f>
        <v>37.575757575757571</v>
      </c>
      <c r="Y74" s="4" t="str">
        <f>IF(Table811[[#This Row],[%change]]&gt;0,"Over Charged",IF(Table811[[#This Row],[%change]]=0,"Perfectly Charged",IF(Table811[[#This Row],[%change]]&lt;0,"Under Charged")))</f>
        <v>Over Charged</v>
      </c>
    </row>
    <row r="75" spans="1:25" x14ac:dyDescent="0.3">
      <c r="A75">
        <v>2001813009</v>
      </c>
      <c r="B75" t="s">
        <v>25</v>
      </c>
      <c r="C75">
        <v>1</v>
      </c>
      <c r="D75">
        <f>_xlfn.XLOOKUP(Order_Report10[[#This Row],[SKU]],SKU_Master[SKU],SKU_Master[Weight (g)],"not found")</f>
        <v>127</v>
      </c>
      <c r="E75">
        <f>Order_Report10[[#This Row],[order weight ]]*Order_Report10[[#This Row],[Order Qty]]</f>
        <v>127</v>
      </c>
      <c r="N75" s="1">
        <v>2001807976</v>
      </c>
      <c r="O75">
        <f>SUMIFS(Order_Report10[_total weight ],Order_Report10[ExternOrderNo],$N75)</f>
        <v>721</v>
      </c>
      <c r="P75">
        <f>CEILING(Table811[[#This Row],[Total weight ]],0.5)</f>
        <v>721</v>
      </c>
      <c r="Q75" t="str">
        <f>_xlfn.XLOOKUP(Table811[[#This Row],[Ext Order No]],Invoice[Order ID],Invoice[Zone])</f>
        <v>d</v>
      </c>
      <c r="R75" t="str">
        <f>IF(pincodes[[#Headers],[Matching status]]="matched",'(abc)pincodes'!C74,'(abc)pincodes'!C74)</f>
        <v>b</v>
      </c>
      <c r="S75" t="str">
        <f>_xlfn.XLOOKUP(Table811[[#This Row],[ABC area ]],Invoice[Zone],Invoice[Type of Shipment])</f>
        <v>Forward charges</v>
      </c>
      <c r="T75" t="s">
        <v>119</v>
      </c>
      <c r="U75">
        <f>_xlfn.XLOOKUP(Table811[[#This Row],[Ext Order No]],Invoice[Order ID],Invoice[Billing Amount (Rs.)],"not found")</f>
        <v>172.8</v>
      </c>
      <c r="V7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5">
        <f>_xlfn.XLOOKUP(Table811[[#This Row],[Ext Order No]],Invoice[Order ID],Invoice[AWB Code])</f>
        <v>1091117327496</v>
      </c>
      <c r="X75" s="4">
        <f>((Table811[[#This Row],[Courirer Price ]]-Table811[[#This Row],[Expected Price]])/Table811[[#This Row],[Expected Price]])*100</f>
        <v>423.63636363636363</v>
      </c>
      <c r="Y75" s="4" t="str">
        <f>IF(Table811[[#This Row],[%change]]&gt;0,"Over Charged",IF(Table811[[#This Row],[%change]]=0,"Perfectly Charged",IF(Table811[[#This Row],[%change]]&lt;0,"Under Charged")))</f>
        <v>Over Charged</v>
      </c>
    </row>
    <row r="76" spans="1:25" x14ac:dyDescent="0.3">
      <c r="A76">
        <v>2001813009</v>
      </c>
      <c r="B76" t="s">
        <v>34</v>
      </c>
      <c r="C76">
        <v>1</v>
      </c>
      <c r="D76">
        <f>_xlfn.XLOOKUP(Order_Report10[[#This Row],[SKU]],SKU_Master[SKU],SKU_Master[Weight (g)],"not found")</f>
        <v>133</v>
      </c>
      <c r="E76">
        <f>Order_Report10[[#This Row],[order weight ]]*Order_Report10[[#This Row],[Order Qty]]</f>
        <v>133</v>
      </c>
      <c r="N76" s="1">
        <v>2001807970</v>
      </c>
      <c r="O76">
        <f>SUMIFS(Order_Report10[_total weight ],Order_Report10[ExternOrderNo],$N76)</f>
        <v>765</v>
      </c>
      <c r="P76">
        <f>CEILING(Table811[[#This Row],[Total weight ]],0.5)</f>
        <v>765</v>
      </c>
      <c r="Q76" t="str">
        <f>_xlfn.XLOOKUP(Table811[[#This Row],[Ext Order No]],Invoice[Order ID],Invoice[Zone])</f>
        <v>d</v>
      </c>
      <c r="R76" t="str">
        <f>IF(pincodes[[#Headers],[Matching status]]="matched",'(abc)pincodes'!C75,'(abc)pincodes'!C75)</f>
        <v>b</v>
      </c>
      <c r="S76" t="str">
        <f>_xlfn.XLOOKUP(Table811[[#This Row],[ABC area ]],Invoice[Zone],Invoice[Type of Shipment])</f>
        <v>Forward charges</v>
      </c>
      <c r="T76" t="s">
        <v>119</v>
      </c>
      <c r="U76">
        <f>_xlfn.XLOOKUP(Table811[[#This Row],[Ext Order No]],Invoice[Order ID],Invoice[Billing Amount (Rs.)],"not found")</f>
        <v>403.8</v>
      </c>
      <c r="V7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6">
        <f>_xlfn.XLOOKUP(Table811[[#This Row],[Ext Order No]],Invoice[Order ID],Invoice[AWB Code])</f>
        <v>1091117327474</v>
      </c>
      <c r="X76" s="4">
        <f>((Table811[[#This Row],[Courirer Price ]]-Table811[[#This Row],[Expected Price]])/Table811[[#This Row],[Expected Price]])*100</f>
        <v>1123.6363636363637</v>
      </c>
      <c r="Y76" s="4" t="str">
        <f>IF(Table811[[#This Row],[%change]]&gt;0,"Over Charged",IF(Table811[[#This Row],[%change]]=0,"Perfectly Charged",IF(Table811[[#This Row],[%change]]&lt;0,"Under Charged")))</f>
        <v>Over Charged</v>
      </c>
    </row>
    <row r="77" spans="1:25" x14ac:dyDescent="0.3">
      <c r="A77">
        <v>2001813009</v>
      </c>
      <c r="B77" t="s">
        <v>30</v>
      </c>
      <c r="C77">
        <v>1</v>
      </c>
      <c r="D77">
        <f>_xlfn.XLOOKUP(Order_Report10[[#This Row],[SKU]],SKU_Master[SKU],SKU_Master[Weight (g)],"not found")</f>
        <v>240</v>
      </c>
      <c r="E77">
        <f>Order_Report10[[#This Row],[order weight ]]*Order_Report10[[#This Row],[Order Qty]]</f>
        <v>240</v>
      </c>
      <c r="N77" s="1">
        <v>2001807960</v>
      </c>
      <c r="O77">
        <f>SUMIFS(Order_Report10[_total weight ],Order_Report10[ExternOrderNo],$N77)</f>
        <v>930</v>
      </c>
      <c r="P77">
        <f>CEILING(Table811[[#This Row],[Total weight ]],0.5)</f>
        <v>930</v>
      </c>
      <c r="Q77" t="str">
        <f>_xlfn.XLOOKUP(Table811[[#This Row],[Ext Order No]],Invoice[Order ID],Invoice[Zone])</f>
        <v>d</v>
      </c>
      <c r="R77" t="str">
        <f>IF(pincodes[[#Headers],[Matching status]]="matched",'(abc)pincodes'!C76,'(abc)pincodes'!C76)</f>
        <v>b</v>
      </c>
      <c r="S77" t="str">
        <f>_xlfn.XLOOKUP(Table811[[#This Row],[ABC area ]],Invoice[Zone],Invoice[Type of Shipment])</f>
        <v>Forward charges</v>
      </c>
      <c r="T77" t="s">
        <v>119</v>
      </c>
      <c r="U77">
        <f>_xlfn.XLOOKUP(Table811[[#This Row],[Ext Order No]],Invoice[Order ID],Invoice[Billing Amount (Rs.)],"not found")</f>
        <v>90.2</v>
      </c>
      <c r="V7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7">
        <f>_xlfn.XLOOKUP(Table811[[#This Row],[Ext Order No]],Invoice[Order ID],Invoice[AWB Code])</f>
        <v>1091117327312</v>
      </c>
      <c r="X77" s="4">
        <f>((Table811[[#This Row],[Courirer Price ]]-Table811[[#This Row],[Expected Price]])/Table811[[#This Row],[Expected Price]])*100</f>
        <v>173.33333333333334</v>
      </c>
      <c r="Y77" s="4" t="str">
        <f>IF(Table811[[#This Row],[%change]]&gt;0,"Over Charged",IF(Table811[[#This Row],[%change]]=0,"Perfectly Charged",IF(Table811[[#This Row],[%change]]&lt;0,"Under Charged")))</f>
        <v>Over Charged</v>
      </c>
    </row>
    <row r="78" spans="1:25" x14ac:dyDescent="0.3">
      <c r="A78">
        <v>2001812941</v>
      </c>
      <c r="B78" t="s">
        <v>25</v>
      </c>
      <c r="C78">
        <v>1</v>
      </c>
      <c r="D78">
        <f>_xlfn.XLOOKUP(Order_Report10[[#This Row],[SKU]],SKU_Master[SKU],SKU_Master[Weight (g)],"not found")</f>
        <v>127</v>
      </c>
      <c r="E78">
        <f>Order_Report10[[#This Row],[order weight ]]*Order_Report10[[#This Row],[Order Qty]]</f>
        <v>127</v>
      </c>
      <c r="N78" s="1">
        <v>2001807956</v>
      </c>
      <c r="O78">
        <f>SUMIFS(Order_Report10[_total weight ],Order_Report10[ExternOrderNo],$N78)</f>
        <v>1080</v>
      </c>
      <c r="P78">
        <f>CEILING(Table811[[#This Row],[Total weight ]],0.5)</f>
        <v>1080</v>
      </c>
      <c r="Q78" t="str">
        <f>_xlfn.XLOOKUP(Table811[[#This Row],[Ext Order No]],Invoice[Order ID],Invoice[Zone])</f>
        <v>b</v>
      </c>
      <c r="R78" t="str">
        <f>IF(pincodes[[#Headers],[Matching status]]="matched",'(abc)pincodes'!C77,'(abc)pincodes'!C77)</f>
        <v>b</v>
      </c>
      <c r="S78" t="str">
        <f>_xlfn.XLOOKUP(Table811[[#This Row],[ABC area ]],Invoice[Zone],Invoice[Type of Shipment])</f>
        <v>Forward charges</v>
      </c>
      <c r="T78" t="s">
        <v>119</v>
      </c>
      <c r="U78">
        <f>_xlfn.XLOOKUP(Table811[[#This Row],[Ext Order No]],Invoice[Order ID],Invoice[Billing Amount (Rs.)],"not found")</f>
        <v>89.6</v>
      </c>
      <c r="V7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8">
        <f>_xlfn.XLOOKUP(Table811[[#This Row],[Ext Order No]],Invoice[Order ID],Invoice[AWB Code])</f>
        <v>1091117327275</v>
      </c>
      <c r="X78" s="4">
        <f>((Table811[[#This Row],[Courirer Price ]]-Table811[[#This Row],[Expected Price]])/Table811[[#This Row],[Expected Price]])*100</f>
        <v>171.5151515151515</v>
      </c>
      <c r="Y78" s="4" t="str">
        <f>IF(Table811[[#This Row],[%change]]&gt;0,"Over Charged",IF(Table811[[#This Row],[%change]]=0,"Perfectly Charged",IF(Table811[[#This Row],[%change]]&lt;0,"Under Charged")))</f>
        <v>Over Charged</v>
      </c>
    </row>
    <row r="79" spans="1:25" x14ac:dyDescent="0.3">
      <c r="A79">
        <v>2001812941</v>
      </c>
      <c r="B79" t="s">
        <v>34</v>
      </c>
      <c r="C79">
        <v>1</v>
      </c>
      <c r="D79">
        <f>_xlfn.XLOOKUP(Order_Report10[[#This Row],[SKU]],SKU_Master[SKU],SKU_Master[Weight (g)],"not found")</f>
        <v>133</v>
      </c>
      <c r="E79">
        <f>Order_Report10[[#This Row],[order weight ]]*Order_Report10[[#This Row],[Order Qty]]</f>
        <v>133</v>
      </c>
      <c r="N79" s="1">
        <v>2001807931</v>
      </c>
      <c r="O79">
        <f>SUMIFS(Order_Report10[_total weight ],Order_Report10[ExternOrderNo],$N79)</f>
        <v>607</v>
      </c>
      <c r="P79">
        <f>CEILING(Table811[[#This Row],[Total weight ]],0.5)</f>
        <v>607</v>
      </c>
      <c r="Q79" t="str">
        <f>_xlfn.XLOOKUP(Table811[[#This Row],[Ext Order No]],Invoice[Order ID],Invoice[Zone])</f>
        <v>d</v>
      </c>
      <c r="R79" t="str">
        <f>IF(pincodes[[#Headers],[Matching status]]="matched",'(abc)pincodes'!C78,'(abc)pincodes'!C78)</f>
        <v>b</v>
      </c>
      <c r="S79" t="str">
        <f>_xlfn.XLOOKUP(Table811[[#This Row],[ABC area ]],Invoice[Zone],Invoice[Type of Shipment])</f>
        <v>Forward charges</v>
      </c>
      <c r="T79" t="s">
        <v>119</v>
      </c>
      <c r="U79">
        <f>_xlfn.XLOOKUP(Table811[[#This Row],[Ext Order No]],Invoice[Order ID],Invoice[Billing Amount (Rs.)],"not found")</f>
        <v>90.2</v>
      </c>
      <c r="V7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79">
        <f>_xlfn.XLOOKUP(Table811[[#This Row],[Ext Order No]],Invoice[Order ID],Invoice[AWB Code])</f>
        <v>1091117327172</v>
      </c>
      <c r="X79" s="4">
        <f>((Table811[[#This Row],[Courirer Price ]]-Table811[[#This Row],[Expected Price]])/Table811[[#This Row],[Expected Price]])*100</f>
        <v>173.33333333333334</v>
      </c>
      <c r="Y79" s="4" t="str">
        <f>IF(Table811[[#This Row],[%change]]&gt;0,"Over Charged",IF(Table811[[#This Row],[%change]]=0,"Perfectly Charged",IF(Table811[[#This Row],[%change]]&lt;0,"Under Charged")))</f>
        <v>Over Charged</v>
      </c>
    </row>
    <row r="80" spans="1:25" x14ac:dyDescent="0.3">
      <c r="A80">
        <v>2001812941</v>
      </c>
      <c r="B80" t="s">
        <v>30</v>
      </c>
      <c r="C80">
        <v>1</v>
      </c>
      <c r="D80">
        <f>_xlfn.XLOOKUP(Order_Report10[[#This Row],[SKU]],SKU_Master[SKU],SKU_Master[Weight (g)],"not found")</f>
        <v>240</v>
      </c>
      <c r="E80">
        <f>Order_Report10[[#This Row],[order weight ]]*Order_Report10[[#This Row],[Order Qty]]</f>
        <v>240</v>
      </c>
      <c r="N80" s="2">
        <v>2001807930</v>
      </c>
      <c r="O80">
        <f>SUMIFS(Order_Report10[_total weight ],Order_Report10[ExternOrderNo],$N80)</f>
        <v>240</v>
      </c>
      <c r="P80">
        <f>CEILING(Table811[[#This Row],[Total weight ]],0.5)</f>
        <v>240</v>
      </c>
      <c r="Q80" t="str">
        <f>_xlfn.XLOOKUP(Table811[[#This Row],[Ext Order No]],Invoice[Order ID],Invoice[Zone])</f>
        <v>d</v>
      </c>
      <c r="R80" t="str">
        <f>IF(pincodes[[#Headers],[Matching status]]="matched",'(abc)pincodes'!C79,'(abc)pincodes'!C79)</f>
        <v>b</v>
      </c>
      <c r="S80" t="str">
        <f>_xlfn.XLOOKUP(Table811[[#This Row],[ABC area ]],Invoice[Zone],Invoice[Type of Shipment])</f>
        <v>Forward charges</v>
      </c>
      <c r="T80" t="s">
        <v>119</v>
      </c>
      <c r="U80">
        <f>_xlfn.XLOOKUP(Table811[[#This Row],[Ext Order No]],Invoice[Order ID],Invoice[Billing Amount (Rs.)],"not found")</f>
        <v>45.4</v>
      </c>
      <c r="V8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0">
        <f>_xlfn.XLOOKUP(Table811[[#This Row],[Ext Order No]],Invoice[Order ID],Invoice[AWB Code])</f>
        <v>1091117327695</v>
      </c>
      <c r="X80" s="4">
        <f>((Table811[[#This Row],[Courirer Price ]]-Table811[[#This Row],[Expected Price]])/Table811[[#This Row],[Expected Price]])*100</f>
        <v>37.575757575757571</v>
      </c>
      <c r="Y80" s="4" t="str">
        <f>IF(Table811[[#This Row],[%change]]&gt;0,"Over Charged",IF(Table811[[#This Row],[%change]]=0,"Perfectly Charged",IF(Table811[[#This Row],[%change]]&lt;0,"Under Charged")))</f>
        <v>Over Charged</v>
      </c>
    </row>
    <row r="81" spans="1:25" x14ac:dyDescent="0.3">
      <c r="A81">
        <v>2001812854</v>
      </c>
      <c r="B81" t="s">
        <v>16</v>
      </c>
      <c r="C81">
        <v>1</v>
      </c>
      <c r="D81">
        <f>_xlfn.XLOOKUP(Order_Report10[[#This Row],[SKU]],SKU_Master[SKU],SKU_Master[Weight (g)],"not found")</f>
        <v>350</v>
      </c>
      <c r="E81">
        <f>Order_Report10[[#This Row],[order weight ]]*Order_Report10[[#This Row],[Order Qty]]</f>
        <v>350</v>
      </c>
      <c r="N81" s="1">
        <v>2001807852</v>
      </c>
      <c r="O81">
        <f>SUMIFS(Order_Report10[_total weight ],Order_Report10[ExternOrderNo],$N81)</f>
        <v>500</v>
      </c>
      <c r="P81">
        <f>CEILING(Table811[[#This Row],[Total weight ]],0.5)</f>
        <v>500</v>
      </c>
      <c r="Q81" t="str">
        <f>_xlfn.XLOOKUP(Table811[[#This Row],[Ext Order No]],Invoice[Order ID],Invoice[Zone])</f>
        <v>d</v>
      </c>
      <c r="R81" t="str">
        <f>IF(pincodes[[#Headers],[Matching status]]="matched",'(abc)pincodes'!C80,'(abc)pincodes'!C80)</f>
        <v>b</v>
      </c>
      <c r="S81" t="str">
        <f>_xlfn.XLOOKUP(Table811[[#This Row],[ABC area ]],Invoice[Zone],Invoice[Type of Shipment])</f>
        <v>Forward charges</v>
      </c>
      <c r="T81" t="s">
        <v>119</v>
      </c>
      <c r="U81">
        <f>_xlfn.XLOOKUP(Table811[[#This Row],[Ext Order No]],Invoice[Order ID],Invoice[Billing Amount (Rs.)],"not found")</f>
        <v>90.2</v>
      </c>
      <c r="V8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1">
        <f>_xlfn.XLOOKUP(Table811[[#This Row],[Ext Order No]],Invoice[Order ID],Invoice[AWB Code])</f>
        <v>1091117326925</v>
      </c>
      <c r="X81" s="4">
        <f>((Table811[[#This Row],[Courirer Price ]]-Table811[[#This Row],[Expected Price]])/Table811[[#This Row],[Expected Price]])*100</f>
        <v>173.33333333333334</v>
      </c>
      <c r="Y81" s="4" t="str">
        <f>IF(Table811[[#This Row],[%change]]&gt;0,"Over Charged",IF(Table811[[#This Row],[%change]]=0,"Perfectly Charged",IF(Table811[[#This Row],[%change]]&lt;0,"Under Charged")))</f>
        <v>Over Charged</v>
      </c>
    </row>
    <row r="82" spans="1:25" x14ac:dyDescent="0.3">
      <c r="A82">
        <v>2001812854</v>
      </c>
      <c r="B82" t="s">
        <v>44</v>
      </c>
      <c r="C82">
        <v>1</v>
      </c>
      <c r="D82">
        <f>_xlfn.XLOOKUP(Order_Report10[[#This Row],[SKU]],SKU_Master[SKU],SKU_Master[Weight (g)],"not found")</f>
        <v>350</v>
      </c>
      <c r="E82">
        <f>Order_Report10[[#This Row],[order weight ]]*Order_Report10[[#This Row],[Order Qty]]</f>
        <v>350</v>
      </c>
      <c r="N82" s="2">
        <v>2001807814</v>
      </c>
      <c r="O82">
        <f>SUMIFS(Order_Report10[_total weight ],Order_Report10[ExternOrderNo],$N82)</f>
        <v>607</v>
      </c>
      <c r="P82">
        <f>CEILING(Table811[[#This Row],[Total weight ]],0.5)</f>
        <v>607</v>
      </c>
      <c r="Q82" t="str">
        <f>_xlfn.XLOOKUP(Table811[[#This Row],[Ext Order No]],Invoice[Order ID],Invoice[Zone])</f>
        <v>b</v>
      </c>
      <c r="R82" t="str">
        <f>IF(pincodes[[#Headers],[Matching status]]="matched",'(abc)pincodes'!C81,'(abc)pincodes'!C81)</f>
        <v>b</v>
      </c>
      <c r="S82" t="str">
        <f>_xlfn.XLOOKUP(Table811[[#This Row],[ABC area ]],Invoice[Zone],Invoice[Type of Shipment])</f>
        <v>Forward charges</v>
      </c>
      <c r="T82" t="s">
        <v>119</v>
      </c>
      <c r="U82">
        <f>_xlfn.XLOOKUP(Table811[[#This Row],[Ext Order No]],Invoice[Order ID],Invoice[Billing Amount (Rs.)],"not found")</f>
        <v>61.3</v>
      </c>
      <c r="V82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2">
        <f>_xlfn.XLOOKUP(Table811[[#This Row],[Ext Order No]],Invoice[Order ID],Invoice[AWB Code])</f>
        <v>1091117326612</v>
      </c>
      <c r="X82" s="4">
        <f>((Table811[[#This Row],[Courirer Price ]]-Table811[[#This Row],[Expected Price]])/Table811[[#This Row],[Expected Price]])*100</f>
        <v>85.757575757575751</v>
      </c>
      <c r="Y82" s="4" t="str">
        <f>IF(Table811[[#This Row],[%change]]&gt;0,"Over Charged",IF(Table811[[#This Row],[%change]]=0,"Perfectly Charged",IF(Table811[[#This Row],[%change]]&lt;0,"Under Charged")))</f>
        <v>Over Charged</v>
      </c>
    </row>
    <row r="83" spans="1:25" x14ac:dyDescent="0.3">
      <c r="A83">
        <v>2001812854</v>
      </c>
      <c r="B83" t="s">
        <v>47</v>
      </c>
      <c r="C83">
        <v>1</v>
      </c>
      <c r="D83">
        <f>_xlfn.XLOOKUP(Order_Report10[[#This Row],[SKU]],SKU_Master[SKU],SKU_Master[Weight (g)],"not found")</f>
        <v>350</v>
      </c>
      <c r="E83">
        <f>Order_Report10[[#This Row],[order weight ]]*Order_Report10[[#This Row],[Order Qty]]</f>
        <v>350</v>
      </c>
      <c r="N83" s="1">
        <v>2001807785</v>
      </c>
      <c r="O83">
        <f>SUMIFS(Order_Report10[_total weight ],Order_Report10[ExternOrderNo],$N83)</f>
        <v>500</v>
      </c>
      <c r="P83">
        <f>CEILING(Table811[[#This Row],[Total weight ]],0.5)</f>
        <v>500</v>
      </c>
      <c r="Q83" t="str">
        <f>_xlfn.XLOOKUP(Table811[[#This Row],[Ext Order No]],Invoice[Order ID],Invoice[Zone])</f>
        <v>d</v>
      </c>
      <c r="R83" t="str">
        <f>IF(pincodes[[#Headers],[Matching status]]="matched",'(abc)pincodes'!C82,'(abc)pincodes'!C82)</f>
        <v>e</v>
      </c>
      <c r="S83" t="str">
        <f>_xlfn.XLOOKUP(Table811[[#This Row],[ABC area ]],Invoice[Zone],Invoice[Type of Shipment])</f>
        <v>Forward and RTO charges</v>
      </c>
      <c r="T83" t="s">
        <v>119</v>
      </c>
      <c r="U83">
        <f>_xlfn.XLOOKUP(Table811[[#This Row],[Ext Order No]],Invoice[Order ID],Invoice[Billing Amount (Rs.)],"not found")</f>
        <v>90.2</v>
      </c>
      <c r="V83">
        <v>107.3</v>
      </c>
      <c r="W83">
        <f>_xlfn.XLOOKUP(Table811[[#This Row],[Ext Order No]],Invoice[Order ID],Invoice[AWB Code])</f>
        <v>1091117326424</v>
      </c>
      <c r="X83" s="4">
        <f>((Table811[[#This Row],[Courirer Price ]]-Table811[[#This Row],[Expected Price]])/Table811[[#This Row],[Expected Price]])*100</f>
        <v>-15.936626281453863</v>
      </c>
      <c r="Y83" s="4" t="str">
        <f>IF(Table811[[#This Row],[%change]]&gt;0,"Over Charged",IF(Table811[[#This Row],[%change]]=0,"Perfectly Charged",IF(Table811[[#This Row],[%change]]&lt;0,"Under Charged")))</f>
        <v>Under Charged</v>
      </c>
    </row>
    <row r="84" spans="1:25" x14ac:dyDescent="0.3">
      <c r="A84">
        <v>2001812854</v>
      </c>
      <c r="B84" t="s">
        <v>48</v>
      </c>
      <c r="C84">
        <v>1</v>
      </c>
      <c r="D84">
        <f>_xlfn.XLOOKUP(Order_Report10[[#This Row],[SKU]],SKU_Master[SKU],SKU_Master[Weight (g)],"not found")</f>
        <v>350</v>
      </c>
      <c r="E84">
        <f>Order_Report10[[#This Row],[order weight ]]*Order_Report10[[#This Row],[Order Qty]]</f>
        <v>350</v>
      </c>
      <c r="N84" s="2">
        <v>2001807613</v>
      </c>
      <c r="O84">
        <f>SUMIFS(Order_Report10[_total weight ],Order_Report10[ExternOrderNo],$N84)</f>
        <v>830</v>
      </c>
      <c r="P84">
        <f>CEILING(Table811[[#This Row],[Total weight ]],0.5)</f>
        <v>830</v>
      </c>
      <c r="Q84" t="str">
        <f>_xlfn.XLOOKUP(Table811[[#This Row],[Ext Order No]],Invoice[Order ID],Invoice[Zone])</f>
        <v>d</v>
      </c>
      <c r="R84" t="str">
        <f>IF(pincodes[[#Headers],[Matching status]]="matched",'(abc)pincodes'!C83,'(abc)pincodes'!C83)</f>
        <v>e</v>
      </c>
      <c r="S84" t="str">
        <f>_xlfn.XLOOKUP(Table811[[#This Row],[ABC area ]],Invoice[Zone],Invoice[Type of Shipment])</f>
        <v>Forward and RTO charges</v>
      </c>
      <c r="T84" t="s">
        <v>119</v>
      </c>
      <c r="U84">
        <f>_xlfn.XLOOKUP(Table811[[#This Row],[Ext Order No]],Invoice[Order ID],Invoice[Billing Amount (Rs.)],"not found")</f>
        <v>135</v>
      </c>
      <c r="V84">
        <v>107.3</v>
      </c>
      <c r="W84">
        <f>_xlfn.XLOOKUP(Table811[[#This Row],[Ext Order No]],Invoice[Order ID],Invoice[AWB Code])</f>
        <v>1091117333251</v>
      </c>
      <c r="X84" s="4">
        <f>((Table811[[#This Row],[Courirer Price ]]-Table811[[#This Row],[Expected Price]])/Table811[[#This Row],[Expected Price]])*100</f>
        <v>25.815470643056855</v>
      </c>
      <c r="Y84" s="4" t="str">
        <f>IF(Table811[[#This Row],[%change]]&gt;0,"Over Charged",IF(Table811[[#This Row],[%change]]=0,"Perfectly Charged",IF(Table811[[#This Row],[%change]]&lt;0,"Under Charged")))</f>
        <v>Over Charged</v>
      </c>
    </row>
    <row r="85" spans="1:25" x14ac:dyDescent="0.3">
      <c r="A85">
        <v>2001812854</v>
      </c>
      <c r="B85" t="s">
        <v>60</v>
      </c>
      <c r="C85">
        <v>1</v>
      </c>
      <c r="D85">
        <f>_xlfn.XLOOKUP(Order_Report10[[#This Row],[SKU]],SKU_Master[SKU],SKU_Master[Weight (g)],"not found")</f>
        <v>500</v>
      </c>
      <c r="E85">
        <f>Order_Report10[[#This Row],[order weight ]]*Order_Report10[[#This Row],[Order Qty]]</f>
        <v>500</v>
      </c>
      <c r="N85" s="1">
        <v>2001807415</v>
      </c>
      <c r="O85">
        <f>SUMIFS(Order_Report10[_total weight ],Order_Report10[ExternOrderNo],$N85)</f>
        <v>1048</v>
      </c>
      <c r="P85">
        <f>CEILING(Table811[[#This Row],[Total weight ]],0.5)</f>
        <v>1048</v>
      </c>
      <c r="Q85" t="str">
        <f>_xlfn.XLOOKUP(Table811[[#This Row],[Ext Order No]],Invoice[Order ID],Invoice[Zone])</f>
        <v>b</v>
      </c>
      <c r="R85" t="str">
        <f>IF(pincodes[[#Headers],[Matching status]]="matched",'(abc)pincodes'!C84,'(abc)pincodes'!C84)</f>
        <v>e</v>
      </c>
      <c r="S85" t="str">
        <f>_xlfn.XLOOKUP(Table811[[#This Row],[ABC area ]],Invoice[Zone],Invoice[Type of Shipment])</f>
        <v>Forward and RTO charges</v>
      </c>
      <c r="T85" t="s">
        <v>119</v>
      </c>
      <c r="U85">
        <f>_xlfn.XLOOKUP(Table811[[#This Row],[Ext Order No]],Invoice[Order ID],Invoice[Billing Amount (Rs.)],"not found")</f>
        <v>61.3</v>
      </c>
      <c r="V85">
        <v>107.3</v>
      </c>
      <c r="W85">
        <f>_xlfn.XLOOKUP(Table811[[#This Row],[Ext Order No]],Invoice[Order ID],Invoice[AWB Code])</f>
        <v>1091117325094</v>
      </c>
      <c r="X85" s="4">
        <f>((Table811[[#This Row],[Courirer Price ]]-Table811[[#This Row],[Expected Price]])/Table811[[#This Row],[Expected Price]])*100</f>
        <v>-42.870456663560113</v>
      </c>
      <c r="Y85" s="4" t="str">
        <f>IF(Table811[[#This Row],[%change]]&gt;0,"Over Charged",IF(Table811[[#This Row],[%change]]=0,"Perfectly Charged",IF(Table811[[#This Row],[%change]]&lt;0,"Under Charged")))</f>
        <v>Under Charged</v>
      </c>
    </row>
    <row r="86" spans="1:25" x14ac:dyDescent="0.3">
      <c r="A86">
        <v>2001812854</v>
      </c>
      <c r="B86" t="s">
        <v>54</v>
      </c>
      <c r="C86">
        <v>2</v>
      </c>
      <c r="D86">
        <f>_xlfn.XLOOKUP(Order_Report10[[#This Row],[SKU]],SKU_Master[SKU],SKU_Master[Weight (g)],"not found")</f>
        <v>112</v>
      </c>
      <c r="E86">
        <f>Order_Report10[[#This Row],[order weight ]]*Order_Report10[[#This Row],[Order Qty]]</f>
        <v>224</v>
      </c>
      <c r="N86" s="2">
        <v>2001807362</v>
      </c>
      <c r="O86">
        <f>SUMIFS(Order_Report10[_total weight ],Order_Report10[ExternOrderNo],$N86)</f>
        <v>2016</v>
      </c>
      <c r="P86">
        <f>CEILING(Table811[[#This Row],[Total weight ]],0.5)</f>
        <v>2016</v>
      </c>
      <c r="Q86" t="str">
        <f>_xlfn.XLOOKUP(Table811[[#This Row],[Ext Order No]],Invoice[Order ID],Invoice[Zone])</f>
        <v>d</v>
      </c>
      <c r="R86" t="str">
        <f>IF(pincodes[[#Headers],[Matching status]]="matched",'(abc)pincodes'!C85,'(abc)pincodes'!C85)</f>
        <v>b</v>
      </c>
      <c r="S86" t="str">
        <f>_xlfn.XLOOKUP(Table811[[#This Row],[ABC area ]],Invoice[Zone],Invoice[Type of Shipment])</f>
        <v>Forward charges</v>
      </c>
      <c r="T86" t="s">
        <v>119</v>
      </c>
      <c r="U86">
        <f>_xlfn.XLOOKUP(Table811[[#This Row],[Ext Order No]],Invoice[Order ID],Invoice[Billing Amount (Rs.)],"not found")</f>
        <v>179.8</v>
      </c>
      <c r="V8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6">
        <f>_xlfn.XLOOKUP(Table811[[#This Row],[Ext Order No]],Invoice[Order ID],Invoice[AWB Code])</f>
        <v>1091117324394</v>
      </c>
      <c r="X86" s="4">
        <f>((Table811[[#This Row],[Courirer Price ]]-Table811[[#This Row],[Expected Price]])/Table811[[#This Row],[Expected Price]])*100</f>
        <v>444.84848484848493</v>
      </c>
      <c r="Y86" s="4" t="str">
        <f>IF(Table811[[#This Row],[%change]]&gt;0,"Over Charged",IF(Table811[[#This Row],[%change]]=0,"Perfectly Charged",IF(Table811[[#This Row],[%change]]&lt;0,"Under Charged")))</f>
        <v>Over Charged</v>
      </c>
    </row>
    <row r="87" spans="1:25" x14ac:dyDescent="0.3">
      <c r="A87">
        <v>2001812854</v>
      </c>
      <c r="B87" t="s">
        <v>36</v>
      </c>
      <c r="C87">
        <v>2</v>
      </c>
      <c r="D87">
        <f>_xlfn.XLOOKUP(Order_Report10[[#This Row],[SKU]],SKU_Master[SKU],SKU_Master[Weight (g)],"not found")</f>
        <v>112</v>
      </c>
      <c r="E87">
        <f>Order_Report10[[#This Row],[order weight ]]*Order_Report10[[#This Row],[Order Qty]]</f>
        <v>224</v>
      </c>
      <c r="N87" s="1">
        <v>2001807329</v>
      </c>
      <c r="O87">
        <f>SUMIFS(Order_Report10[_total weight ],Order_Report10[ExternOrderNo],$N87)</f>
        <v>500</v>
      </c>
      <c r="P87">
        <f>CEILING(Table811[[#This Row],[Total weight ]],0.5)</f>
        <v>500</v>
      </c>
      <c r="Q87" t="str">
        <f>_xlfn.XLOOKUP(Table811[[#This Row],[Ext Order No]],Invoice[Order ID],Invoice[Zone])</f>
        <v>d</v>
      </c>
      <c r="R87" t="str">
        <f>IF(pincodes[[#Headers],[Matching status]]="matched",'(abc)pincodes'!C86,'(abc)pincodes'!C86)</f>
        <v>b</v>
      </c>
      <c r="S87" t="str">
        <f>_xlfn.XLOOKUP(Table811[[#This Row],[ABC area ]],Invoice[Zone],Invoice[Type of Shipment])</f>
        <v>Forward charges</v>
      </c>
      <c r="T87" t="s">
        <v>119</v>
      </c>
      <c r="U87">
        <f>_xlfn.XLOOKUP(Table811[[#This Row],[Ext Order No]],Invoice[Order ID],Invoice[Billing Amount (Rs.)],"not found")</f>
        <v>90.2</v>
      </c>
      <c r="V8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7">
        <f>_xlfn.XLOOKUP(Table811[[#This Row],[Ext Order No]],Invoice[Order ID],Invoice[AWB Code])</f>
        <v>1091117333100</v>
      </c>
      <c r="X87" s="4">
        <f>((Table811[[#This Row],[Courirer Price ]]-Table811[[#This Row],[Expected Price]])/Table811[[#This Row],[Expected Price]])*100</f>
        <v>173.33333333333334</v>
      </c>
      <c r="Y87" s="4" t="str">
        <f>IF(Table811[[#This Row],[%change]]&gt;0,"Over Charged",IF(Table811[[#This Row],[%change]]=0,"Perfectly Charged",IF(Table811[[#This Row],[%change]]&lt;0,"Under Charged")))</f>
        <v>Over Charged</v>
      </c>
    </row>
    <row r="88" spans="1:25" x14ac:dyDescent="0.3">
      <c r="A88">
        <v>2001812854</v>
      </c>
      <c r="B88" t="s">
        <v>35</v>
      </c>
      <c r="C88">
        <v>2</v>
      </c>
      <c r="D88">
        <f>_xlfn.XLOOKUP(Order_Report10[[#This Row],[SKU]],SKU_Master[SKU],SKU_Master[Weight (g)],"not found")</f>
        <v>112</v>
      </c>
      <c r="E88">
        <f>Order_Report10[[#This Row],[order weight ]]*Order_Report10[[#This Row],[Order Qty]]</f>
        <v>224</v>
      </c>
      <c r="N88" s="2">
        <v>2001807328</v>
      </c>
      <c r="O88">
        <f>SUMIFS(Order_Report10[_total weight ],Order_Report10[ExternOrderNo],$N88)</f>
        <v>490</v>
      </c>
      <c r="P88">
        <f>CEILING(Table811[[#This Row],[Total weight ]],0.5)</f>
        <v>490</v>
      </c>
      <c r="Q88" t="str">
        <f>_xlfn.XLOOKUP(Table811[[#This Row],[Ext Order No]],Invoice[Order ID],Invoice[Zone])</f>
        <v>d</v>
      </c>
      <c r="R88" t="str">
        <f>IF(pincodes[[#Headers],[Matching status]]="matched",'(abc)pincodes'!C87,'(abc)pincodes'!C87)</f>
        <v>b</v>
      </c>
      <c r="S88" t="str">
        <f>_xlfn.XLOOKUP(Table811[[#This Row],[ABC area ]],Invoice[Zone],Invoice[Type of Shipment])</f>
        <v>Forward charges</v>
      </c>
      <c r="T88" t="s">
        <v>119</v>
      </c>
      <c r="U88">
        <f>_xlfn.XLOOKUP(Table811[[#This Row],[Ext Order No]],Invoice[Order ID],Invoice[Billing Amount (Rs.)],"not found")</f>
        <v>224.6</v>
      </c>
      <c r="V8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8">
        <f>_xlfn.XLOOKUP(Table811[[#This Row],[Ext Order No]],Invoice[Order ID],Invoice[AWB Code])</f>
        <v>1091117324346</v>
      </c>
      <c r="X88" s="4">
        <f>((Table811[[#This Row],[Courirer Price ]]-Table811[[#This Row],[Expected Price]])/Table811[[#This Row],[Expected Price]])*100</f>
        <v>580.60606060606062</v>
      </c>
      <c r="Y88" s="4" t="str">
        <f>IF(Table811[[#This Row],[%change]]&gt;0,"Over Charged",IF(Table811[[#This Row],[%change]]=0,"Perfectly Charged",IF(Table811[[#This Row],[%change]]&lt;0,"Under Charged")))</f>
        <v>Over Charged</v>
      </c>
    </row>
    <row r="89" spans="1:25" x14ac:dyDescent="0.3">
      <c r="A89">
        <v>2001812838</v>
      </c>
      <c r="B89" t="s">
        <v>37</v>
      </c>
      <c r="C89">
        <v>1</v>
      </c>
      <c r="D89">
        <f>_xlfn.XLOOKUP(Order_Report10[[#This Row],[SKU]],SKU_Master[SKU],SKU_Master[Weight (g)],"not found")</f>
        <v>110</v>
      </c>
      <c r="E89">
        <f>Order_Report10[[#This Row],[order weight ]]*Order_Report10[[#This Row],[Order Qty]]</f>
        <v>110</v>
      </c>
      <c r="N89" s="1">
        <v>2001807290</v>
      </c>
      <c r="O89">
        <f>SUMIFS(Order_Report10[_total weight ],Order_Report10[ExternOrderNo],$N89)</f>
        <v>500</v>
      </c>
      <c r="P89">
        <f>CEILING(Table811[[#This Row],[Total weight ]],0.5)</f>
        <v>500</v>
      </c>
      <c r="Q89" t="str">
        <f>_xlfn.XLOOKUP(Table811[[#This Row],[Ext Order No]],Invoice[Order ID],Invoice[Zone])</f>
        <v>d</v>
      </c>
      <c r="R89" t="str">
        <f>IF(pincodes[[#Headers],[Matching status]]="matched",'(abc)pincodes'!C88,'(abc)pincodes'!C88)</f>
        <v>b</v>
      </c>
      <c r="S89" t="str">
        <f>_xlfn.XLOOKUP(Table811[[#This Row],[ABC area ]],Invoice[Zone],Invoice[Type of Shipment])</f>
        <v>Forward charges</v>
      </c>
      <c r="T89" t="s">
        <v>119</v>
      </c>
      <c r="U89">
        <f>_xlfn.XLOOKUP(Table811[[#This Row],[Ext Order No]],Invoice[Order ID],Invoice[Billing Amount (Rs.)],"not found")</f>
        <v>45.4</v>
      </c>
      <c r="V8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89">
        <f>_xlfn.XLOOKUP(Table811[[#This Row],[Ext Order No]],Invoice[Order ID],Invoice[AWB Code])</f>
        <v>1091117324206</v>
      </c>
      <c r="X89" s="4">
        <f>((Table811[[#This Row],[Courirer Price ]]-Table811[[#This Row],[Expected Price]])/Table811[[#This Row],[Expected Price]])*100</f>
        <v>37.575757575757571</v>
      </c>
      <c r="Y89" s="4" t="str">
        <f>IF(Table811[[#This Row],[%change]]&gt;0,"Over Charged",IF(Table811[[#This Row],[%change]]=0,"Perfectly Charged",IF(Table811[[#This Row],[%change]]&lt;0,"Under Charged")))</f>
        <v>Over Charged</v>
      </c>
    </row>
    <row r="90" spans="1:25" x14ac:dyDescent="0.3">
      <c r="A90">
        <v>2001812838</v>
      </c>
      <c r="B90" t="s">
        <v>36</v>
      </c>
      <c r="C90">
        <v>4</v>
      </c>
      <c r="D90">
        <f>_xlfn.XLOOKUP(Order_Report10[[#This Row],[SKU]],SKU_Master[SKU],SKU_Master[Weight (g)],"not found")</f>
        <v>112</v>
      </c>
      <c r="E90">
        <f>Order_Report10[[#This Row],[order weight ]]*Order_Report10[[#This Row],[Order Qty]]</f>
        <v>448</v>
      </c>
      <c r="N90" s="2">
        <v>2001807241</v>
      </c>
      <c r="O90">
        <f>SUMIFS(Order_Report10[_total weight ],Order_Report10[ExternOrderNo],$N90)</f>
        <v>607</v>
      </c>
      <c r="P90">
        <f>CEILING(Table811[[#This Row],[Total weight ]],0.5)</f>
        <v>607</v>
      </c>
      <c r="Q90" t="str">
        <f>_xlfn.XLOOKUP(Table811[[#This Row],[Ext Order No]],Invoice[Order ID],Invoice[Zone])</f>
        <v>d</v>
      </c>
      <c r="R90" t="str">
        <f>IF(pincodes[[#Headers],[Matching status]]="matched",'(abc)pincodes'!C89,'(abc)pincodes'!C89)</f>
        <v>b</v>
      </c>
      <c r="S90" t="str">
        <f>_xlfn.XLOOKUP(Table811[[#This Row],[ABC area ]],Invoice[Zone],Invoice[Type of Shipment])</f>
        <v>Forward charges</v>
      </c>
      <c r="T90" t="s">
        <v>119</v>
      </c>
      <c r="U90">
        <f>_xlfn.XLOOKUP(Table811[[#This Row],[Ext Order No]],Invoice[Order ID],Invoice[Billing Amount (Rs.)],"not found")</f>
        <v>90.2</v>
      </c>
      <c r="V9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0">
        <f>_xlfn.XLOOKUP(Table811[[#This Row],[Ext Order No]],Invoice[Order ID],Invoice[AWB Code])</f>
        <v>1091117324011</v>
      </c>
      <c r="X90" s="4">
        <f>((Table811[[#This Row],[Courirer Price ]]-Table811[[#This Row],[Expected Price]])/Table811[[#This Row],[Expected Price]])*100</f>
        <v>173.33333333333334</v>
      </c>
      <c r="Y90" s="4" t="str">
        <f>IF(Table811[[#This Row],[%change]]&gt;0,"Over Charged",IF(Table811[[#This Row],[%change]]=0,"Perfectly Charged",IF(Table811[[#This Row],[%change]]&lt;0,"Under Charged")))</f>
        <v>Over Charged</v>
      </c>
    </row>
    <row r="91" spans="1:25" x14ac:dyDescent="0.3">
      <c r="A91">
        <v>2001812650</v>
      </c>
      <c r="B91" t="s">
        <v>36</v>
      </c>
      <c r="C91">
        <v>4</v>
      </c>
      <c r="D91">
        <f>_xlfn.XLOOKUP(Order_Report10[[#This Row],[SKU]],SKU_Master[SKU],SKU_Master[Weight (g)],"not found")</f>
        <v>112</v>
      </c>
      <c r="E91">
        <f>Order_Report10[[#This Row],[order weight ]]*Order_Report10[[#This Row],[Order Qty]]</f>
        <v>448</v>
      </c>
      <c r="N91" s="1">
        <v>2001807186</v>
      </c>
      <c r="O91">
        <f>SUMIFS(Order_Report10[_total weight ],Order_Report10[ExternOrderNo],$N91)</f>
        <v>500</v>
      </c>
      <c r="P91">
        <f>CEILING(Table811[[#This Row],[Total weight ]],0.5)</f>
        <v>500</v>
      </c>
      <c r="Q91" t="str">
        <f>_xlfn.XLOOKUP(Table811[[#This Row],[Ext Order No]],Invoice[Order ID],Invoice[Zone])</f>
        <v>d</v>
      </c>
      <c r="R91" t="str">
        <f>IF(pincodes[[#Headers],[Matching status]]="matched",'(abc)pincodes'!C90,'(abc)pincodes'!C90)</f>
        <v>b</v>
      </c>
      <c r="S91" t="str">
        <f>_xlfn.XLOOKUP(Table811[[#This Row],[ABC area ]],Invoice[Zone],Invoice[Type of Shipment])</f>
        <v>Forward charges</v>
      </c>
      <c r="T91" t="s">
        <v>119</v>
      </c>
      <c r="U91">
        <f>_xlfn.XLOOKUP(Table811[[#This Row],[Ext Order No]],Invoice[Order ID],Invoice[Billing Amount (Rs.)],"not found")</f>
        <v>45.4</v>
      </c>
      <c r="V9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1">
        <f>_xlfn.XLOOKUP(Table811[[#This Row],[Ext Order No]],Invoice[Order ID],Invoice[AWB Code])</f>
        <v>1091117323812</v>
      </c>
      <c r="X91" s="4">
        <f>((Table811[[#This Row],[Courirer Price ]]-Table811[[#This Row],[Expected Price]])/Table811[[#This Row],[Expected Price]])*100</f>
        <v>37.575757575757571</v>
      </c>
      <c r="Y91" s="4" t="str">
        <f>IF(Table811[[#This Row],[%change]]&gt;0,"Over Charged",IF(Table811[[#This Row],[%change]]=0,"Perfectly Charged",IF(Table811[[#This Row],[%change]]&lt;0,"Under Charged")))</f>
        <v>Over Charged</v>
      </c>
    </row>
    <row r="92" spans="1:25" x14ac:dyDescent="0.3">
      <c r="A92">
        <v>2001812650</v>
      </c>
      <c r="B92" t="s">
        <v>38</v>
      </c>
      <c r="C92">
        <v>1</v>
      </c>
      <c r="D92">
        <f>_xlfn.XLOOKUP(Order_Report10[[#This Row],[SKU]],SKU_Master[SKU],SKU_Master[Weight (g)],"not found")</f>
        <v>115</v>
      </c>
      <c r="E92">
        <f>Order_Report10[[#This Row],[order weight ]]*Order_Report10[[#This Row],[Order Qty]]</f>
        <v>115</v>
      </c>
      <c r="N92" s="2">
        <v>2001807084</v>
      </c>
      <c r="O92">
        <f>SUMIFS(Order_Report10[_total weight ],Order_Report10[ExternOrderNo],$N92)</f>
        <v>500</v>
      </c>
      <c r="P92">
        <f>CEILING(Table811[[#This Row],[Total weight ]],0.5)</f>
        <v>500</v>
      </c>
      <c r="Q92" t="str">
        <f>_xlfn.XLOOKUP(Table811[[#This Row],[Ext Order No]],Invoice[Order ID],Invoice[Zone])</f>
        <v>d</v>
      </c>
      <c r="R92" t="str">
        <f>IF(pincodes[[#Headers],[Matching status]]="matched",'(abc)pincodes'!C91,'(abc)pincodes'!C91)</f>
        <v>b</v>
      </c>
      <c r="S92" t="str">
        <f>_xlfn.XLOOKUP(Table811[[#This Row],[ABC area ]],Invoice[Zone],Invoice[Type of Shipment])</f>
        <v>Forward charges</v>
      </c>
      <c r="T92" t="s">
        <v>119</v>
      </c>
      <c r="U92">
        <f>_xlfn.XLOOKUP(Table811[[#This Row],[Ext Order No]],Invoice[Order ID],Invoice[Billing Amount (Rs.)],"not found")</f>
        <v>90.2</v>
      </c>
      <c r="V92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2">
        <f>_xlfn.XLOOKUP(Table811[[#This Row],[Ext Order No]],Invoice[Order ID],Invoice[AWB Code])</f>
        <v>1091117323215</v>
      </c>
      <c r="X92" s="4">
        <f>((Table811[[#This Row],[Courirer Price ]]-Table811[[#This Row],[Expected Price]])/Table811[[#This Row],[Expected Price]])*100</f>
        <v>173.33333333333334</v>
      </c>
      <c r="Y92" s="4" t="str">
        <f>IF(Table811[[#This Row],[%change]]&gt;0,"Over Charged",IF(Table811[[#This Row],[%change]]=0,"Perfectly Charged",IF(Table811[[#This Row],[%change]]&lt;0,"Under Charged")))</f>
        <v>Over Charged</v>
      </c>
    </row>
    <row r="93" spans="1:25" x14ac:dyDescent="0.3">
      <c r="A93">
        <v>2001812195</v>
      </c>
      <c r="B93" t="s">
        <v>25</v>
      </c>
      <c r="C93">
        <v>1</v>
      </c>
      <c r="D93">
        <f>_xlfn.XLOOKUP(Order_Report10[[#This Row],[SKU]],SKU_Master[SKU],SKU_Master[Weight (g)],"not found")</f>
        <v>127</v>
      </c>
      <c r="E93">
        <f>Order_Report10[[#This Row],[order weight ]]*Order_Report10[[#This Row],[Order Qty]]</f>
        <v>127</v>
      </c>
      <c r="N93" s="1">
        <v>2001807058</v>
      </c>
      <c r="O93">
        <f>SUMIFS(Order_Report10[_total weight ],Order_Report10[ExternOrderNo],$N93)</f>
        <v>1168</v>
      </c>
      <c r="P93">
        <f>CEILING(Table811[[#This Row],[Total weight ]],0.5)</f>
        <v>1168</v>
      </c>
      <c r="Q93" t="str">
        <f>_xlfn.XLOOKUP(Table811[[#This Row],[Ext Order No]],Invoice[Order ID],Invoice[Zone])</f>
        <v>b</v>
      </c>
      <c r="R93" t="str">
        <f>IF(pincodes[[#Headers],[Matching status]]="matched",'(abc)pincodes'!C92,'(abc)pincodes'!C92)</f>
        <v>b</v>
      </c>
      <c r="S93" t="str">
        <f>_xlfn.XLOOKUP(Table811[[#This Row],[ABC area ]],Invoice[Zone],Invoice[Type of Shipment])</f>
        <v>Forward charges</v>
      </c>
      <c r="T93" t="s">
        <v>119</v>
      </c>
      <c r="U93">
        <f>_xlfn.XLOOKUP(Table811[[#This Row],[Ext Order No]],Invoice[Order ID],Invoice[Billing Amount (Rs.)],"not found")</f>
        <v>89.6</v>
      </c>
      <c r="V9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3">
        <f>_xlfn.XLOOKUP(Table811[[#This Row],[Ext Order No]],Invoice[Order ID],Invoice[AWB Code])</f>
        <v>1091117323112</v>
      </c>
      <c r="X93" s="4">
        <f>((Table811[[#This Row],[Courirer Price ]]-Table811[[#This Row],[Expected Price]])/Table811[[#This Row],[Expected Price]])*100</f>
        <v>171.5151515151515</v>
      </c>
      <c r="Y93" s="4" t="str">
        <f>IF(Table811[[#This Row],[%change]]&gt;0,"Over Charged",IF(Table811[[#This Row],[%change]]=0,"Perfectly Charged",IF(Table811[[#This Row],[%change]]&lt;0,"Under Charged")))</f>
        <v>Over Charged</v>
      </c>
    </row>
    <row r="94" spans="1:25" x14ac:dyDescent="0.3">
      <c r="A94">
        <v>2001812195</v>
      </c>
      <c r="B94" t="s">
        <v>34</v>
      </c>
      <c r="C94">
        <v>1</v>
      </c>
      <c r="D94">
        <f>_xlfn.XLOOKUP(Order_Report10[[#This Row],[SKU]],SKU_Master[SKU],SKU_Master[Weight (g)],"not found")</f>
        <v>133</v>
      </c>
      <c r="E94">
        <f>Order_Report10[[#This Row],[order weight ]]*Order_Report10[[#This Row],[Order Qty]]</f>
        <v>133</v>
      </c>
      <c r="N94" s="1">
        <v>2001807036</v>
      </c>
      <c r="O94">
        <f>SUMIFS(Order_Report10[_total weight ],Order_Report10[ExternOrderNo],$N94)</f>
        <v>1459</v>
      </c>
      <c r="P94">
        <f>CEILING(Table811[[#This Row],[Total weight ]],0.5)</f>
        <v>1459</v>
      </c>
      <c r="Q94" t="str">
        <f>_xlfn.XLOOKUP(Table811[[#This Row],[Ext Order No]],Invoice[Order ID],Invoice[Zone])</f>
        <v>d</v>
      </c>
      <c r="R94" t="str">
        <f>IF(pincodes[[#Headers],[Matching status]]="matched",'(abc)pincodes'!C93,'(abc)pincodes'!C93)</f>
        <v>b</v>
      </c>
      <c r="S94" t="str">
        <f>_xlfn.XLOOKUP(Table811[[#This Row],[ABC area ]],Invoice[Zone],Invoice[Type of Shipment])</f>
        <v>Forward charges</v>
      </c>
      <c r="T94" t="s">
        <v>119</v>
      </c>
      <c r="U94">
        <f>_xlfn.XLOOKUP(Table811[[#This Row],[Ext Order No]],Invoice[Order ID],Invoice[Billing Amount (Rs.)],"not found")</f>
        <v>179.8</v>
      </c>
      <c r="V94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4">
        <f>_xlfn.XLOOKUP(Table811[[#This Row],[Ext Order No]],Invoice[Order ID],Invoice[AWB Code])</f>
        <v>1091117323005</v>
      </c>
      <c r="X94" s="4">
        <f>((Table811[[#This Row],[Courirer Price ]]-Table811[[#This Row],[Expected Price]])/Table811[[#This Row],[Expected Price]])*100</f>
        <v>444.84848484848493</v>
      </c>
      <c r="Y94" s="4" t="str">
        <f>IF(Table811[[#This Row],[%change]]&gt;0,"Over Charged",IF(Table811[[#This Row],[%change]]=0,"Perfectly Charged",IF(Table811[[#This Row],[%change]]&lt;0,"Under Charged")))</f>
        <v>Over Charged</v>
      </c>
    </row>
    <row r="95" spans="1:25" x14ac:dyDescent="0.3">
      <c r="A95">
        <v>2001812195</v>
      </c>
      <c r="B95" t="s">
        <v>30</v>
      </c>
      <c r="C95">
        <v>1</v>
      </c>
      <c r="D95">
        <f>_xlfn.XLOOKUP(Order_Report10[[#This Row],[SKU]],SKU_Master[SKU],SKU_Master[Weight (g)],"not found")</f>
        <v>240</v>
      </c>
      <c r="E95">
        <f>Order_Report10[[#This Row],[order weight ]]*Order_Report10[[#This Row],[Order Qty]]</f>
        <v>240</v>
      </c>
      <c r="N95" s="1">
        <v>2001807012</v>
      </c>
      <c r="O95">
        <f>SUMIFS(Order_Report10[_total weight ],Order_Report10[ExternOrderNo],$N95)</f>
        <v>240</v>
      </c>
      <c r="P95">
        <f>CEILING(Table811[[#This Row],[Total weight ]],0.5)</f>
        <v>240</v>
      </c>
      <c r="Q95" t="str">
        <f>_xlfn.XLOOKUP(Table811[[#This Row],[Ext Order No]],Invoice[Order ID],Invoice[Zone])</f>
        <v>d</v>
      </c>
      <c r="R95" t="str">
        <f>IF(pincodes[[#Headers],[Matching status]]="matched",'(abc)pincodes'!C94,'(abc)pincodes'!C94)</f>
        <v>b</v>
      </c>
      <c r="S95" t="str">
        <f>_xlfn.XLOOKUP(Table811[[#This Row],[ABC area ]],Invoice[Zone],Invoice[Type of Shipment])</f>
        <v>Forward charges</v>
      </c>
      <c r="T95" t="s">
        <v>119</v>
      </c>
      <c r="U95">
        <f>_xlfn.XLOOKUP(Table811[[#This Row],[Ext Order No]],Invoice[Order ID],Invoice[Billing Amount (Rs.)],"not found")</f>
        <v>45.4</v>
      </c>
      <c r="V9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5">
        <f>_xlfn.XLOOKUP(Table811[[#This Row],[Ext Order No]],Invoice[Order ID],Invoice[AWB Code])</f>
        <v>1091117229345</v>
      </c>
      <c r="X95" s="4">
        <f>((Table811[[#This Row],[Courirer Price ]]-Table811[[#This Row],[Expected Price]])/Table811[[#This Row],[Expected Price]])*100</f>
        <v>37.575757575757571</v>
      </c>
      <c r="Y95" s="4" t="str">
        <f>IF(Table811[[#This Row],[%change]]&gt;0,"Over Charged",IF(Table811[[#This Row],[%change]]=0,"Perfectly Charged",IF(Table811[[#This Row],[%change]]&lt;0,"Under Charged")))</f>
        <v>Over Charged</v>
      </c>
    </row>
    <row r="96" spans="1:25" x14ac:dyDescent="0.3">
      <c r="A96">
        <v>2001811809</v>
      </c>
      <c r="B96" t="s">
        <v>25</v>
      </c>
      <c r="C96">
        <v>1</v>
      </c>
      <c r="D96">
        <f>_xlfn.XLOOKUP(Order_Report10[[#This Row],[SKU]],SKU_Master[SKU],SKU_Master[Weight (g)],"not found")</f>
        <v>127</v>
      </c>
      <c r="E96">
        <f>Order_Report10[[#This Row],[order weight ]]*Order_Report10[[#This Row],[Order Qty]]</f>
        <v>127</v>
      </c>
      <c r="N96" s="2">
        <v>2001807004</v>
      </c>
      <c r="O96">
        <f>SUMIFS(Order_Report10[_total weight ],Order_Report10[ExternOrderNo],$N96)</f>
        <v>500</v>
      </c>
      <c r="P96">
        <f>CEILING(Table811[[#This Row],[Total weight ]],0.5)</f>
        <v>500</v>
      </c>
      <c r="Q96" t="str">
        <f>_xlfn.XLOOKUP(Table811[[#This Row],[Ext Order No]],Invoice[Order ID],Invoice[Zone])</f>
        <v>d</v>
      </c>
      <c r="R96" t="str">
        <f>IF(pincodes[[#Headers],[Matching status]]="matched",'(abc)pincodes'!C95,'(abc)pincodes'!C95)</f>
        <v>e</v>
      </c>
      <c r="S96" t="str">
        <f>_xlfn.XLOOKUP(Table811[[#This Row],[ABC area ]],Invoice[Zone],Invoice[Type of Shipment])</f>
        <v>Forward and RTO charges</v>
      </c>
      <c r="T96" t="s">
        <v>119</v>
      </c>
      <c r="U96">
        <f>_xlfn.XLOOKUP(Table811[[#This Row],[Ext Order No]],Invoice[Order ID],Invoice[Billing Amount (Rs.)],"not found")</f>
        <v>90.2</v>
      </c>
      <c r="V96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96">
        <f>_xlfn.XLOOKUP(Table811[[#This Row],[Ext Order No]],Invoice[Order ID],Invoice[AWB Code])</f>
        <v>1091117229290</v>
      </c>
      <c r="X96" s="4" t="e">
        <f>((Table811[[#This Row],[Courirer Price ]]-Table811[[#This Row],[Expected Price]])/Table811[[#This Row],[Expected Price]])*100</f>
        <v>#DIV/0!</v>
      </c>
      <c r="Y96" s="4" t="e">
        <f>IF(Table811[[#This Row],[%change]]&gt;0,"Over Charged",IF(Table811[[#This Row],[%change]]=0,"Perfectly Charged",IF(Table811[[#This Row],[%change]]&lt;0,"Under Charged")))</f>
        <v>#DIV/0!</v>
      </c>
    </row>
    <row r="97" spans="1:25" x14ac:dyDescent="0.3">
      <c r="A97">
        <v>2001811809</v>
      </c>
      <c r="B97" t="s">
        <v>34</v>
      </c>
      <c r="C97">
        <v>1</v>
      </c>
      <c r="D97">
        <f>_xlfn.XLOOKUP(Order_Report10[[#This Row],[SKU]],SKU_Master[SKU],SKU_Master[Weight (g)],"not found")</f>
        <v>133</v>
      </c>
      <c r="E97">
        <f>Order_Report10[[#This Row],[order weight ]]*Order_Report10[[#This Row],[Order Qty]]</f>
        <v>133</v>
      </c>
      <c r="N97" s="1">
        <v>2001806968</v>
      </c>
      <c r="O97">
        <f>SUMIFS(Order_Report10[_total weight ],Order_Report10[ExternOrderNo],$N97)</f>
        <v>500</v>
      </c>
      <c r="P97">
        <f>CEILING(Table811[[#This Row],[Total weight ]],0.5)</f>
        <v>500</v>
      </c>
      <c r="Q97" t="str">
        <f>_xlfn.XLOOKUP(Table811[[#This Row],[Ext Order No]],Invoice[Order ID],Invoice[Zone])</f>
        <v>d</v>
      </c>
      <c r="R97" t="str">
        <f>IF(pincodes[[#Headers],[Matching status]]="matched",'(abc)pincodes'!C96,'(abc)pincodes'!C96)</f>
        <v>b</v>
      </c>
      <c r="S97" t="str">
        <f>_xlfn.XLOOKUP(Table811[[#This Row],[ABC area ]],Invoice[Zone],Invoice[Type of Shipment])</f>
        <v>Forward charges</v>
      </c>
      <c r="T97" t="s">
        <v>119</v>
      </c>
      <c r="U97">
        <f>_xlfn.XLOOKUP(Table811[[#This Row],[Ext Order No]],Invoice[Order ID],Invoice[Billing Amount (Rs.)],"not found")</f>
        <v>90.2</v>
      </c>
      <c r="V9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7">
        <f>_xlfn.XLOOKUP(Table811[[#This Row],[Ext Order No]],Invoice[Order ID],Invoice[AWB Code])</f>
        <v>1091117229183</v>
      </c>
      <c r="X97" s="4">
        <f>((Table811[[#This Row],[Courirer Price ]]-Table811[[#This Row],[Expected Price]])/Table811[[#This Row],[Expected Price]])*100</f>
        <v>173.33333333333334</v>
      </c>
      <c r="Y97" s="4" t="str">
        <f>IF(Table811[[#This Row],[%change]]&gt;0,"Over Charged",IF(Table811[[#This Row],[%change]]=0,"Perfectly Charged",IF(Table811[[#This Row],[%change]]&lt;0,"Under Charged")))</f>
        <v>Over Charged</v>
      </c>
    </row>
    <row r="98" spans="1:25" x14ac:dyDescent="0.3">
      <c r="A98">
        <v>2001811809</v>
      </c>
      <c r="B98" t="s">
        <v>30</v>
      </c>
      <c r="C98">
        <v>1</v>
      </c>
      <c r="D98">
        <f>_xlfn.XLOOKUP(Order_Report10[[#This Row],[SKU]],SKU_Master[SKU],SKU_Master[Weight (g)],"not found")</f>
        <v>240</v>
      </c>
      <c r="E98">
        <f>Order_Report10[[#This Row],[order weight ]]*Order_Report10[[#This Row],[Order Qty]]</f>
        <v>240</v>
      </c>
      <c r="N98" s="2">
        <v>2001806885</v>
      </c>
      <c r="O98">
        <f>SUMIFS(Order_Report10[_total weight ],Order_Report10[ExternOrderNo],$N98)</f>
        <v>420</v>
      </c>
      <c r="P98">
        <f>CEILING(Table811[[#This Row],[Total weight ]],0.5)</f>
        <v>420</v>
      </c>
      <c r="Q98" t="str">
        <f>_xlfn.XLOOKUP(Table811[[#This Row],[Ext Order No]],Invoice[Order ID],Invoice[Zone])</f>
        <v>b</v>
      </c>
      <c r="R98" t="str">
        <f>IF(pincodes[[#Headers],[Matching status]]="matched",'(abc)pincodes'!C97,'(abc)pincodes'!C97)</f>
        <v>b</v>
      </c>
      <c r="S98" t="str">
        <f>_xlfn.XLOOKUP(Table811[[#This Row],[ABC area ]],Invoice[Zone],Invoice[Type of Shipment])</f>
        <v>Forward charges</v>
      </c>
      <c r="T98" t="s">
        <v>119</v>
      </c>
      <c r="U98">
        <f>_xlfn.XLOOKUP(Table811[[#This Row],[Ext Order No]],Invoice[Order ID],Invoice[Billing Amount (Rs.)],"not found")</f>
        <v>61.3</v>
      </c>
      <c r="V9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8">
        <f>_xlfn.XLOOKUP(Table811[[#This Row],[Ext Order No]],Invoice[Order ID],Invoice[AWB Code])</f>
        <v>1091117229776</v>
      </c>
      <c r="X98" s="4">
        <f>((Table811[[#This Row],[Courirer Price ]]-Table811[[#This Row],[Expected Price]])/Table811[[#This Row],[Expected Price]])*100</f>
        <v>85.757575757575751</v>
      </c>
      <c r="Y98" s="4" t="str">
        <f>IF(Table811[[#This Row],[%change]]&gt;0,"Over Charged",IF(Table811[[#This Row],[%change]]=0,"Perfectly Charged",IF(Table811[[#This Row],[%change]]&lt;0,"Under Charged")))</f>
        <v>Over Charged</v>
      </c>
    </row>
    <row r="99" spans="1:25" x14ac:dyDescent="0.3">
      <c r="A99">
        <v>2001811604</v>
      </c>
      <c r="B99" t="s">
        <v>10</v>
      </c>
      <c r="C99">
        <v>1</v>
      </c>
      <c r="D99">
        <f>_xlfn.XLOOKUP(Order_Report10[[#This Row],[SKU]],SKU_Master[SKU],SKU_Master[Weight (g)],"not found")</f>
        <v>120</v>
      </c>
      <c r="E99">
        <f>Order_Report10[[#This Row],[order weight ]]*Order_Report10[[#This Row],[Order Qty]]</f>
        <v>120</v>
      </c>
      <c r="N99" s="1">
        <v>2001806828</v>
      </c>
      <c r="O99">
        <f>SUMIFS(Order_Report10[_total weight ],Order_Report10[ExternOrderNo],$N99)</f>
        <v>500</v>
      </c>
      <c r="P99">
        <f>CEILING(Table811[[#This Row],[Total weight ]],0.5)</f>
        <v>500</v>
      </c>
      <c r="Q99" t="str">
        <f>_xlfn.XLOOKUP(Table811[[#This Row],[Ext Order No]],Invoice[Order ID],Invoice[Zone])</f>
        <v>d</v>
      </c>
      <c r="R99" t="str">
        <f>IF(pincodes[[#Headers],[Matching status]]="matched",'(abc)pincodes'!C98,'(abc)pincodes'!C98)</f>
        <v>b</v>
      </c>
      <c r="S99" t="str">
        <f>_xlfn.XLOOKUP(Table811[[#This Row],[ABC area ]],Invoice[Zone],Invoice[Type of Shipment])</f>
        <v>Forward charges</v>
      </c>
      <c r="T99" t="s">
        <v>119</v>
      </c>
      <c r="U99">
        <f>_xlfn.XLOOKUP(Table811[[#This Row],[Ext Order No]],Invoice[Order ID],Invoice[Billing Amount (Rs.)],"not found")</f>
        <v>90.2</v>
      </c>
      <c r="V9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99">
        <f>_xlfn.XLOOKUP(Table811[[#This Row],[Ext Order No]],Invoice[Order ID],Invoice[AWB Code])</f>
        <v>1091117228192</v>
      </c>
      <c r="X99" s="4">
        <f>((Table811[[#This Row],[Courirer Price ]]-Table811[[#This Row],[Expected Price]])/Table811[[#This Row],[Expected Price]])*100</f>
        <v>173.33333333333334</v>
      </c>
      <c r="Y99" s="4" t="str">
        <f>IF(Table811[[#This Row],[%change]]&gt;0,"Over Charged",IF(Table811[[#This Row],[%change]]=0,"Perfectly Charged",IF(Table811[[#This Row],[%change]]&lt;0,"Under Charged")))</f>
        <v>Over Charged</v>
      </c>
    </row>
    <row r="100" spans="1:25" x14ac:dyDescent="0.3">
      <c r="A100">
        <v>2001811604</v>
      </c>
      <c r="B100" t="s">
        <v>23</v>
      </c>
      <c r="C100">
        <v>2</v>
      </c>
      <c r="D100">
        <f>_xlfn.XLOOKUP(Order_Report10[[#This Row],[SKU]],SKU_Master[SKU],SKU_Master[Weight (g)],"not found")</f>
        <v>240</v>
      </c>
      <c r="E100">
        <f>Order_Report10[[#This Row],[order weight ]]*Order_Report10[[#This Row],[Order Qty]]</f>
        <v>480</v>
      </c>
      <c r="N100" s="2">
        <v>2001806823</v>
      </c>
      <c r="O100">
        <f>SUMIFS(Order_Report10[_total weight ],Order_Report10[ExternOrderNo],$N100)</f>
        <v>127</v>
      </c>
      <c r="P100">
        <f>CEILING(Table811[[#This Row],[Total weight ]],0.5)</f>
        <v>127</v>
      </c>
      <c r="Q100" t="str">
        <f>_xlfn.XLOOKUP(Table811[[#This Row],[Ext Order No]],Invoice[Order ID],Invoice[Zone])</f>
        <v>d</v>
      </c>
      <c r="R100" t="str">
        <f>IF(pincodes[[#Headers],[Matching status]]="matched",'(abc)pincodes'!C99,'(abc)pincodes'!C99)</f>
        <v>b</v>
      </c>
      <c r="S100" t="str">
        <f>_xlfn.XLOOKUP(Table811[[#This Row],[ABC area ]],Invoice[Zone],Invoice[Type of Shipment])</f>
        <v>Forward charges</v>
      </c>
      <c r="T100" t="s">
        <v>119</v>
      </c>
      <c r="U100">
        <f>_xlfn.XLOOKUP(Table811[[#This Row],[Ext Order No]],Invoice[Order ID],Invoice[Billing Amount (Rs.)],"not found")</f>
        <v>90.2</v>
      </c>
      <c r="V10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0">
        <f>_xlfn.XLOOKUP(Table811[[#This Row],[Ext Order No]],Invoice[Order ID],Invoice[AWB Code])</f>
        <v>1091117228133</v>
      </c>
      <c r="X100" s="4">
        <f>((Table811[[#This Row],[Courirer Price ]]-Table811[[#This Row],[Expected Price]])/Table811[[#This Row],[Expected Price]])*100</f>
        <v>173.33333333333334</v>
      </c>
      <c r="Y100" s="4" t="str">
        <f>IF(Table811[[#This Row],[%change]]&gt;0,"Over Charged",IF(Table811[[#This Row],[%change]]=0,"Perfectly Charged",IF(Table811[[#This Row],[%change]]&lt;0,"Under Charged")))</f>
        <v>Over Charged</v>
      </c>
    </row>
    <row r="101" spans="1:25" x14ac:dyDescent="0.3">
      <c r="A101">
        <v>2001811604</v>
      </c>
      <c r="B101" t="s">
        <v>24</v>
      </c>
      <c r="C101">
        <v>1</v>
      </c>
      <c r="D101">
        <f>_xlfn.XLOOKUP(Order_Report10[[#This Row],[SKU]],SKU_Master[SKU],SKU_Master[Weight (g)],"not found")</f>
        <v>121</v>
      </c>
      <c r="E101">
        <f>Order_Report10[[#This Row],[order weight ]]*Order_Report10[[#This Row],[Order Qty]]</f>
        <v>121</v>
      </c>
      <c r="N101" s="1">
        <v>2001806801</v>
      </c>
      <c r="O101">
        <f>SUMIFS(Order_Report10[_total weight ],Order_Report10[ExternOrderNo],$N101)</f>
        <v>361</v>
      </c>
      <c r="P101">
        <f>CEILING(Table811[[#This Row],[Total weight ]],0.5)</f>
        <v>361</v>
      </c>
      <c r="Q101" t="str">
        <f>_xlfn.XLOOKUP(Table811[[#This Row],[Ext Order No]],Invoice[Order ID],Invoice[Zone])</f>
        <v>b</v>
      </c>
      <c r="R101" t="str">
        <f>IF(pincodes[[#Headers],[Matching status]]="matched",'(abc)pincodes'!C100,'(abc)pincodes'!C100)</f>
        <v>b</v>
      </c>
      <c r="S101" t="str">
        <f>_xlfn.XLOOKUP(Table811[[#This Row],[ABC area ]],Invoice[Zone],Invoice[Type of Shipment])</f>
        <v>Forward charges</v>
      </c>
      <c r="T101" t="s">
        <v>119</v>
      </c>
      <c r="U101">
        <f>_xlfn.XLOOKUP(Table811[[#This Row],[Ext Order No]],Invoice[Order ID],Invoice[Billing Amount (Rs.)],"not found")</f>
        <v>89.6</v>
      </c>
      <c r="V101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1">
        <f>_xlfn.XLOOKUP(Table811[[#This Row],[Ext Order No]],Invoice[Order ID],Invoice[AWB Code])</f>
        <v>1091117227816</v>
      </c>
      <c r="X101" s="4">
        <f>((Table811[[#This Row],[Courirer Price ]]-Table811[[#This Row],[Expected Price]])/Table811[[#This Row],[Expected Price]])*100</f>
        <v>171.5151515151515</v>
      </c>
      <c r="Y101" s="4" t="str">
        <f>IF(Table811[[#This Row],[%change]]&gt;0,"Over Charged",IF(Table811[[#This Row],[%change]]=0,"Perfectly Charged",IF(Table811[[#This Row],[%change]]&lt;0,"Under Charged")))</f>
        <v>Over Charged</v>
      </c>
    </row>
    <row r="102" spans="1:25" x14ac:dyDescent="0.3">
      <c r="A102">
        <v>2001811475</v>
      </c>
      <c r="B102" t="s">
        <v>25</v>
      </c>
      <c r="C102">
        <v>1</v>
      </c>
      <c r="D102">
        <f>_xlfn.XLOOKUP(Order_Report10[[#This Row],[SKU]],SKU_Master[SKU],SKU_Master[Weight (g)],"not found")</f>
        <v>127</v>
      </c>
      <c r="E102">
        <f>Order_Report10[[#This Row],[order weight ]]*Order_Report10[[#This Row],[Order Qty]]</f>
        <v>127</v>
      </c>
      <c r="N102" s="1">
        <v>2001806776</v>
      </c>
      <c r="O102">
        <f>SUMIFS(Order_Report10[_total weight ],Order_Report10[ExternOrderNo],$N102)</f>
        <v>611</v>
      </c>
      <c r="P102">
        <f>CEILING(Table811[[#This Row],[Total weight ]],0.5)</f>
        <v>611</v>
      </c>
      <c r="Q102" t="str">
        <f>_xlfn.XLOOKUP(Table811[[#This Row],[Ext Order No]],Invoice[Order ID],Invoice[Zone])</f>
        <v>b</v>
      </c>
      <c r="R102" t="str">
        <f>IF(pincodes[[#Headers],[Matching status]]="matched",'(abc)pincodes'!C101,'(abc)pincodes'!C101)</f>
        <v>b</v>
      </c>
      <c r="S102" t="str">
        <f>_xlfn.XLOOKUP(Table811[[#This Row],[ABC area ]],Invoice[Zone],Invoice[Type of Shipment])</f>
        <v>Forward charges</v>
      </c>
      <c r="T102" t="s">
        <v>119</v>
      </c>
      <c r="U102">
        <f>_xlfn.XLOOKUP(Table811[[#This Row],[Ext Order No]],Invoice[Order ID],Invoice[Billing Amount (Rs.)],"not found")</f>
        <v>174.5</v>
      </c>
      <c r="V102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2">
        <f>_xlfn.XLOOKUP(Table811[[#This Row],[Ext Order No]],Invoice[Order ID],Invoice[AWB Code])</f>
        <v>1091117227573</v>
      </c>
      <c r="X102" s="4">
        <f>((Table811[[#This Row],[Courirer Price ]]-Table811[[#This Row],[Expected Price]])/Table811[[#This Row],[Expected Price]])*100</f>
        <v>428.78787878787881</v>
      </c>
      <c r="Y102" s="4" t="str">
        <f>IF(Table811[[#This Row],[%change]]&gt;0,"Over Charged",IF(Table811[[#This Row],[%change]]=0,"Perfectly Charged",IF(Table811[[#This Row],[%change]]&lt;0,"Under Charged")))</f>
        <v>Over Charged</v>
      </c>
    </row>
    <row r="103" spans="1:25" x14ac:dyDescent="0.3">
      <c r="A103">
        <v>2001811475</v>
      </c>
      <c r="B103" t="s">
        <v>23</v>
      </c>
      <c r="C103">
        <v>1</v>
      </c>
      <c r="D103">
        <f>_xlfn.XLOOKUP(Order_Report10[[#This Row],[SKU]],SKU_Master[SKU],SKU_Master[Weight (g)],"not found")</f>
        <v>240</v>
      </c>
      <c r="E103">
        <f>Order_Report10[[#This Row],[order weight ]]*Order_Report10[[#This Row],[Order Qty]]</f>
        <v>240</v>
      </c>
      <c r="N103" s="2">
        <v>2001806768</v>
      </c>
      <c r="O103">
        <f>SUMIFS(Order_Report10[_total weight ],Order_Report10[ExternOrderNo],$N103)</f>
        <v>840</v>
      </c>
      <c r="P103">
        <f>CEILING(Table811[[#This Row],[Total weight ]],0.5)</f>
        <v>840</v>
      </c>
      <c r="Q103" t="str">
        <f>_xlfn.XLOOKUP(Table811[[#This Row],[Ext Order No]],Invoice[Order ID],Invoice[Zone])</f>
        <v>d</v>
      </c>
      <c r="R103" t="str">
        <f>IF(pincodes[[#Headers],[Matching status]]="matched",'(abc)pincodes'!C102,'(abc)pincodes'!C102)</f>
        <v>b</v>
      </c>
      <c r="S103" t="str">
        <f>_xlfn.XLOOKUP(Table811[[#This Row],[ABC area ]],Invoice[Zone],Invoice[Type of Shipment])</f>
        <v>Forward charges</v>
      </c>
      <c r="T103" t="s">
        <v>119</v>
      </c>
      <c r="U103">
        <f>_xlfn.XLOOKUP(Table811[[#This Row],[Ext Order No]],Invoice[Order ID],Invoice[Billing Amount (Rs.)],"not found")</f>
        <v>135</v>
      </c>
      <c r="V103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3">
        <f>_xlfn.XLOOKUP(Table811[[#This Row],[Ext Order No]],Invoice[Order ID],Invoice[AWB Code])</f>
        <v>1091117227116</v>
      </c>
      <c r="X103" s="4">
        <f>((Table811[[#This Row],[Courirer Price ]]-Table811[[#This Row],[Expected Price]])/Table811[[#This Row],[Expected Price]])*100</f>
        <v>309.09090909090907</v>
      </c>
      <c r="Y103" s="4" t="str">
        <f>IF(Table811[[#This Row],[%change]]&gt;0,"Over Charged",IF(Table811[[#This Row],[%change]]=0,"Perfectly Charged",IF(Table811[[#This Row],[%change]]&lt;0,"Under Charged")))</f>
        <v>Over Charged</v>
      </c>
    </row>
    <row r="104" spans="1:25" x14ac:dyDescent="0.3">
      <c r="A104">
        <v>2001811475</v>
      </c>
      <c r="B104" t="s">
        <v>67</v>
      </c>
      <c r="C104">
        <v>1</v>
      </c>
      <c r="D104">
        <f>_xlfn.XLOOKUP(Order_Report10[[#This Row],[SKU]],SKU_Master[SKU],SKU_Master[Weight (g)],"not found")</f>
        <v>210</v>
      </c>
      <c r="E104">
        <f>Order_Report10[[#This Row],[order weight ]]*Order_Report10[[#This Row],[Order Qty]]</f>
        <v>210</v>
      </c>
      <c r="N104" s="1">
        <v>2001806735</v>
      </c>
      <c r="O104">
        <f>SUMIFS(Order_Report10[_total weight ],Order_Report10[ExternOrderNo],$N104)</f>
        <v>500</v>
      </c>
      <c r="P104">
        <f>CEILING(Table811[[#This Row],[Total weight ]],0.5)</f>
        <v>500</v>
      </c>
      <c r="Q104" t="str">
        <f>_xlfn.XLOOKUP(Table811[[#This Row],[Ext Order No]],Invoice[Order ID],Invoice[Zone])</f>
        <v>d</v>
      </c>
      <c r="R104" t="str">
        <f>IF(pincodes[[#Headers],[Matching status]]="matched",'(abc)pincodes'!C103,'(abc)pincodes'!C103)</f>
        <v>b</v>
      </c>
      <c r="S104" t="str">
        <f>_xlfn.XLOOKUP(Table811[[#This Row],[ABC area ]],Invoice[Zone],Invoice[Type of Shipment])</f>
        <v>Forward charges</v>
      </c>
      <c r="T104" t="s">
        <v>119</v>
      </c>
      <c r="U104">
        <f>_xlfn.XLOOKUP(Table811[[#This Row],[Ext Order No]],Invoice[Order ID],Invoice[Billing Amount (Rs.)],"not found")</f>
        <v>90.2</v>
      </c>
      <c r="V104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4">
        <f>_xlfn.XLOOKUP(Table811[[#This Row],[Ext Order No]],Invoice[Order ID],Invoice[AWB Code])</f>
        <v>1091117226711</v>
      </c>
      <c r="X104" s="4">
        <f>((Table811[[#This Row],[Courirer Price ]]-Table811[[#This Row],[Expected Price]])/Table811[[#This Row],[Expected Price]])*100</f>
        <v>173.33333333333334</v>
      </c>
      <c r="Y104" s="4" t="str">
        <f>IF(Table811[[#This Row],[%change]]&gt;0,"Over Charged",IF(Table811[[#This Row],[%change]]=0,"Perfectly Charged",IF(Table811[[#This Row],[%change]]&lt;0,"Under Charged")))</f>
        <v>Over Charged</v>
      </c>
    </row>
    <row r="105" spans="1:25" x14ac:dyDescent="0.3">
      <c r="A105">
        <v>2001811475</v>
      </c>
      <c r="B105" t="s">
        <v>36</v>
      </c>
      <c r="C105">
        <v>1</v>
      </c>
      <c r="D105">
        <f>_xlfn.XLOOKUP(Order_Report10[[#This Row],[SKU]],SKU_Master[SKU],SKU_Master[Weight (g)],"not found")</f>
        <v>112</v>
      </c>
      <c r="E105">
        <f>Order_Report10[[#This Row],[order weight ]]*Order_Report10[[#This Row],[Order Qty]]</f>
        <v>112</v>
      </c>
      <c r="N105" s="2">
        <v>2001806733</v>
      </c>
      <c r="O105">
        <f>SUMIFS(Order_Report10[_total weight ],Order_Report10[ExternOrderNo],$N105)</f>
        <v>967</v>
      </c>
      <c r="P105">
        <f>CEILING(Table811[[#This Row],[Total weight ]],0.5)</f>
        <v>967</v>
      </c>
      <c r="Q105" t="str">
        <f>_xlfn.XLOOKUP(Table811[[#This Row],[Ext Order No]],Invoice[Order ID],Invoice[Zone])</f>
        <v>d</v>
      </c>
      <c r="R105" t="str">
        <f>IF(pincodes[[#Headers],[Matching status]]="matched",'(abc)pincodes'!C104,'(abc)pincodes'!C104)</f>
        <v>b</v>
      </c>
      <c r="S105" t="str">
        <f>_xlfn.XLOOKUP(Table811[[#This Row],[ABC area ]],Invoice[Zone],Invoice[Type of Shipment])</f>
        <v>Forward charges</v>
      </c>
      <c r="T105" t="s">
        <v>119</v>
      </c>
      <c r="U105">
        <f>_xlfn.XLOOKUP(Table811[[#This Row],[Ext Order No]],Invoice[Order ID],Invoice[Billing Amount (Rs.)],"not found")</f>
        <v>135</v>
      </c>
      <c r="V105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5">
        <f>_xlfn.XLOOKUP(Table811[[#This Row],[Ext Order No]],Invoice[Order ID],Invoice[AWB Code])</f>
        <v>1091117226674</v>
      </c>
      <c r="X105" s="4">
        <f>((Table811[[#This Row],[Courirer Price ]]-Table811[[#This Row],[Expected Price]])/Table811[[#This Row],[Expected Price]])*100</f>
        <v>309.09090909090907</v>
      </c>
      <c r="Y105" s="4" t="str">
        <f>IF(Table811[[#This Row],[%change]]&gt;0,"Over Charged",IF(Table811[[#This Row],[%change]]=0,"Perfectly Charged",IF(Table811[[#This Row],[%change]]&lt;0,"Under Charged")))</f>
        <v>Over Charged</v>
      </c>
    </row>
    <row r="106" spans="1:25" x14ac:dyDescent="0.3">
      <c r="A106">
        <v>2001811466</v>
      </c>
      <c r="B106" t="s">
        <v>25</v>
      </c>
      <c r="C106">
        <v>1</v>
      </c>
      <c r="D106">
        <f>_xlfn.XLOOKUP(Order_Report10[[#This Row],[SKU]],SKU_Master[SKU],SKU_Master[Weight (g)],"not found")</f>
        <v>127</v>
      </c>
      <c r="E106">
        <f>Order_Report10[[#This Row],[order weight ]]*Order_Report10[[#This Row],[Order Qty]]</f>
        <v>127</v>
      </c>
      <c r="N106" s="1">
        <v>2001806726</v>
      </c>
      <c r="O106">
        <f>SUMIFS(Order_Report10[_total weight ],Order_Report10[ExternOrderNo],$N106)</f>
        <v>500</v>
      </c>
      <c r="P106">
        <f>CEILING(Table811[[#This Row],[Total weight ]],0.5)</f>
        <v>500</v>
      </c>
      <c r="Q106" t="str">
        <f>_xlfn.XLOOKUP(Table811[[#This Row],[Ext Order No]],Invoice[Order ID],Invoice[Zone])</f>
        <v>d</v>
      </c>
      <c r="R106" t="str">
        <f>IF(pincodes[[#Headers],[Matching status]]="matched",'(abc)pincodes'!C105,'(abc)pincodes'!C105)</f>
        <v>b</v>
      </c>
      <c r="S106" t="str">
        <f>_xlfn.XLOOKUP(Table811[[#This Row],[ABC area ]],Invoice[Zone],Invoice[Type of Shipment])</f>
        <v>Forward charges</v>
      </c>
      <c r="T106" t="s">
        <v>119</v>
      </c>
      <c r="U106">
        <f>_xlfn.XLOOKUP(Table811[[#This Row],[Ext Order No]],Invoice[Order ID],Invoice[Billing Amount (Rs.)],"not found")</f>
        <v>90.2</v>
      </c>
      <c r="V106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6">
        <f>_xlfn.XLOOKUP(Table811[[#This Row],[Ext Order No]],Invoice[Order ID],Invoice[AWB Code])</f>
        <v>1091117226910</v>
      </c>
      <c r="X106" s="4">
        <f>((Table811[[#This Row],[Courirer Price ]]-Table811[[#This Row],[Expected Price]])/Table811[[#This Row],[Expected Price]])*100</f>
        <v>173.33333333333334</v>
      </c>
      <c r="Y106" s="4" t="str">
        <f>IF(Table811[[#This Row],[%change]]&gt;0,"Over Charged",IF(Table811[[#This Row],[%change]]=0,"Perfectly Charged",IF(Table811[[#This Row],[%change]]&lt;0,"Under Charged")))</f>
        <v>Over Charged</v>
      </c>
    </row>
    <row r="107" spans="1:25" x14ac:dyDescent="0.3">
      <c r="A107">
        <v>2001811466</v>
      </c>
      <c r="B107" t="s">
        <v>30</v>
      </c>
      <c r="C107">
        <v>1</v>
      </c>
      <c r="D107">
        <f>_xlfn.XLOOKUP(Order_Report10[[#This Row],[SKU]],SKU_Master[SKU],SKU_Master[Weight (g)],"not found")</f>
        <v>240</v>
      </c>
      <c r="E107">
        <f>Order_Report10[[#This Row],[order weight ]]*Order_Report10[[#This Row],[Order Qty]]</f>
        <v>240</v>
      </c>
      <c r="N107" s="2">
        <v>2001806686</v>
      </c>
      <c r="O107">
        <f>SUMIFS(Order_Report10[_total weight ],Order_Report10[ExternOrderNo],$N107)</f>
        <v>240</v>
      </c>
      <c r="P107">
        <f>CEILING(Table811[[#This Row],[Total weight ]],0.5)</f>
        <v>240</v>
      </c>
      <c r="Q107" t="str">
        <f>_xlfn.XLOOKUP(Table811[[#This Row],[Ext Order No]],Invoice[Order ID],Invoice[Zone])</f>
        <v>d</v>
      </c>
      <c r="R107" t="str">
        <f>IF(pincodes[[#Headers],[Matching status]]="matched",'(abc)pincodes'!C106,'(abc)pincodes'!C106)</f>
        <v>b</v>
      </c>
      <c r="S107" t="str">
        <f>_xlfn.XLOOKUP(Table811[[#This Row],[ABC area ]],Invoice[Zone],Invoice[Type of Shipment])</f>
        <v>Forward charges</v>
      </c>
      <c r="T107" t="s">
        <v>119</v>
      </c>
      <c r="U107">
        <f>_xlfn.XLOOKUP(Table811[[#This Row],[Ext Order No]],Invoice[Order ID],Invoice[Billing Amount (Rs.)],"not found")</f>
        <v>45.4</v>
      </c>
      <c r="V107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7">
        <f>_xlfn.XLOOKUP(Table811[[#This Row],[Ext Order No]],Invoice[Order ID],Invoice[AWB Code])</f>
        <v>1091117229555</v>
      </c>
      <c r="X107" s="4">
        <f>((Table811[[#This Row],[Courirer Price ]]-Table811[[#This Row],[Expected Price]])/Table811[[#This Row],[Expected Price]])*100</f>
        <v>37.575757575757571</v>
      </c>
      <c r="Y107" s="4" t="str">
        <f>IF(Table811[[#This Row],[%change]]&gt;0,"Over Charged",IF(Table811[[#This Row],[%change]]=0,"Perfectly Charged",IF(Table811[[#This Row],[%change]]&lt;0,"Under Charged")))</f>
        <v>Over Charged</v>
      </c>
    </row>
    <row r="108" spans="1:25" x14ac:dyDescent="0.3">
      <c r="A108">
        <v>2001811466</v>
      </c>
      <c r="B108" t="s">
        <v>62</v>
      </c>
      <c r="C108">
        <v>1</v>
      </c>
      <c r="D108">
        <f>_xlfn.XLOOKUP(Order_Report10[[#This Row],[SKU]],SKU_Master[SKU],SKU_Master[Weight (g)],"not found")</f>
        <v>240</v>
      </c>
      <c r="E108">
        <f>Order_Report10[[#This Row],[order weight ]]*Order_Report10[[#This Row],[Order Qty]]</f>
        <v>240</v>
      </c>
      <c r="N108" s="1">
        <v>2001806652</v>
      </c>
      <c r="O108">
        <f>SUMIFS(Order_Report10[_total weight ],Order_Report10[ExternOrderNo],$N108)</f>
        <v>500</v>
      </c>
      <c r="P108">
        <f>CEILING(Table811[[#This Row],[Total weight ]],0.5)</f>
        <v>500</v>
      </c>
      <c r="Q108" t="str">
        <f>_xlfn.XLOOKUP(Table811[[#This Row],[Ext Order No]],Invoice[Order ID],Invoice[Zone])</f>
        <v>d</v>
      </c>
      <c r="R108" t="str">
        <f>IF(pincodes[[#Headers],[Matching status]]="matched",'(abc)pincodes'!C107,'(abc)pincodes'!C107)</f>
        <v>b</v>
      </c>
      <c r="S108" t="str">
        <f>_xlfn.XLOOKUP(Table811[[#This Row],[ABC area ]],Invoice[Zone],Invoice[Type of Shipment])</f>
        <v>Forward charges</v>
      </c>
      <c r="T108" t="s">
        <v>119</v>
      </c>
      <c r="U108">
        <f>_xlfn.XLOOKUP(Table811[[#This Row],[Ext Order No]],Invoice[Order ID],Invoice[Billing Amount (Rs.)],"not found")</f>
        <v>90.2</v>
      </c>
      <c r="V108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8">
        <f>_xlfn.XLOOKUP(Table811[[#This Row],[Ext Order No]],Invoice[Order ID],Invoice[AWB Code])</f>
        <v>1091117226221</v>
      </c>
      <c r="X108" s="4">
        <f>((Table811[[#This Row],[Courirer Price ]]-Table811[[#This Row],[Expected Price]])/Table811[[#This Row],[Expected Price]])*100</f>
        <v>173.33333333333334</v>
      </c>
      <c r="Y108" s="4" t="str">
        <f>IF(Table811[[#This Row],[%change]]&gt;0,"Over Charged",IF(Table811[[#This Row],[%change]]=0,"Perfectly Charged",IF(Table811[[#This Row],[%change]]&lt;0,"Under Charged")))</f>
        <v>Over Charged</v>
      </c>
    </row>
    <row r="109" spans="1:25" x14ac:dyDescent="0.3">
      <c r="A109">
        <v>2001811363</v>
      </c>
      <c r="B109" t="s">
        <v>7</v>
      </c>
      <c r="C109">
        <v>1</v>
      </c>
      <c r="D109">
        <f>_xlfn.XLOOKUP(Order_Report10[[#This Row],[SKU]],SKU_Master[SKU],SKU_Master[Weight (g)],"not found")</f>
        <v>165</v>
      </c>
      <c r="E109">
        <f>Order_Report10[[#This Row],[order weight ]]*Order_Report10[[#This Row],[Order Qty]]</f>
        <v>165</v>
      </c>
      <c r="N109" s="2">
        <v>2001806616</v>
      </c>
      <c r="O109">
        <f>SUMIFS(Order_Report10[_total weight ],Order_Report10[ExternOrderNo],$N109)</f>
        <v>963</v>
      </c>
      <c r="P109">
        <f>CEILING(Table811[[#This Row],[Total weight ]],0.5)</f>
        <v>963</v>
      </c>
      <c r="Q109" t="str">
        <f>_xlfn.XLOOKUP(Table811[[#This Row],[Ext Order No]],Invoice[Order ID],Invoice[Zone])</f>
        <v>b</v>
      </c>
      <c r="R109" t="str">
        <f>IF(pincodes[[#Headers],[Matching status]]="matched",'(abc)pincodes'!C108,'(abc)pincodes'!C108)</f>
        <v>b</v>
      </c>
      <c r="S109" t="str">
        <f>_xlfn.XLOOKUP(Table811[[#This Row],[ABC area ]],Invoice[Zone],Invoice[Type of Shipment])</f>
        <v>Forward charges</v>
      </c>
      <c r="T109" t="s">
        <v>119</v>
      </c>
      <c r="U109">
        <f>_xlfn.XLOOKUP(Table811[[#This Row],[Ext Order No]],Invoice[Order ID],Invoice[Billing Amount (Rs.)],"not found")</f>
        <v>89.6</v>
      </c>
      <c r="V109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09">
        <f>_xlfn.XLOOKUP(Table811[[#This Row],[Ext Order No]],Invoice[Order ID],Invoice[AWB Code])</f>
        <v>1091117225484</v>
      </c>
      <c r="X109" s="4">
        <f>((Table811[[#This Row],[Courirer Price ]]-Table811[[#This Row],[Expected Price]])/Table811[[#This Row],[Expected Price]])*100</f>
        <v>171.5151515151515</v>
      </c>
      <c r="Y109" s="4" t="str">
        <f>IF(Table811[[#This Row],[%change]]&gt;0,"Over Charged",IF(Table811[[#This Row],[%change]]=0,"Perfectly Charged",IF(Table811[[#This Row],[%change]]&lt;0,"Under Charged")))</f>
        <v>Over Charged</v>
      </c>
    </row>
    <row r="110" spans="1:25" x14ac:dyDescent="0.3">
      <c r="A110">
        <v>2001811363</v>
      </c>
      <c r="B110" t="s">
        <v>29</v>
      </c>
      <c r="C110">
        <v>1</v>
      </c>
      <c r="D110">
        <f>_xlfn.XLOOKUP(Order_Report10[[#This Row],[SKU]],SKU_Master[SKU],SKU_Master[Weight (g)],"not found")</f>
        <v>113</v>
      </c>
      <c r="E110">
        <f>Order_Report10[[#This Row],[order weight ]]*Order_Report10[[#This Row],[Order Qty]]</f>
        <v>113</v>
      </c>
      <c r="N110" s="2">
        <v>2001806575</v>
      </c>
      <c r="O110">
        <f>SUMIFS(Order_Report10[_total weight ],Order_Report10[ExternOrderNo],$N110)</f>
        <v>500</v>
      </c>
      <c r="P110">
        <f>CEILING(Table811[[#This Row],[Total weight ]],0.5)</f>
        <v>500</v>
      </c>
      <c r="Q110" t="str">
        <f>_xlfn.XLOOKUP(Table811[[#This Row],[Ext Order No]],Invoice[Order ID],Invoice[Zone])</f>
        <v>b</v>
      </c>
      <c r="R110" t="str">
        <f>IF(pincodes[[#Headers],[Matching status]]="matched",'(abc)pincodes'!C109,'(abc)pincodes'!C109)</f>
        <v>b</v>
      </c>
      <c r="S110" t="str">
        <f>_xlfn.XLOOKUP(Table811[[#This Row],[ABC area ]],Invoice[Zone],Invoice[Type of Shipment])</f>
        <v>Forward charges</v>
      </c>
      <c r="T110" t="s">
        <v>119</v>
      </c>
      <c r="U110">
        <f>_xlfn.XLOOKUP(Table811[[#This Row],[Ext Order No]],Invoice[Order ID],Invoice[Billing Amount (Rs.)],"not found")</f>
        <v>61.3</v>
      </c>
      <c r="V110">
        <f>IF(AND(Table811[[#This Row],[Shipment short_1]]="fwd",Table811[[#This Row],[ABC area ]]="d"),'Courier Company - Rates'!G$8,IF(AND(Table811[[#This Row],[Shipment short_1]]="fwd",Table811[[#This Row],[ABC area ]]="b"),'Courier Company - Rates'!G$7))</f>
        <v>33</v>
      </c>
      <c r="W110">
        <f>_xlfn.XLOOKUP(Table811[[#This Row],[Ext Order No]],Invoice[Order ID],Invoice[AWB Code])</f>
        <v>1091117225016</v>
      </c>
      <c r="X110" s="4">
        <f>((Table811[[#This Row],[Courirer Price ]]-Table811[[#This Row],[Expected Price]])/Table811[[#This Row],[Expected Price]])*100</f>
        <v>85.757575757575751</v>
      </c>
      <c r="Y110" s="4" t="str">
        <f>IF(Table811[[#This Row],[%change]]&gt;0,"Over Charged",IF(Table811[[#This Row],[%change]]=0,"Perfectly Charged",IF(Table811[[#This Row],[%change]]&lt;0,"Under Charged")))</f>
        <v>Over Charged</v>
      </c>
    </row>
    <row r="111" spans="1:25" x14ac:dyDescent="0.3">
      <c r="A111">
        <v>2001811363</v>
      </c>
      <c r="B111" t="s">
        <v>9</v>
      </c>
      <c r="C111">
        <v>1</v>
      </c>
      <c r="D111">
        <f>_xlfn.XLOOKUP(Order_Report10[[#This Row],[SKU]],SKU_Master[SKU],SKU_Master[Weight (g)],"not found")</f>
        <v>65</v>
      </c>
      <c r="E111">
        <f>Order_Report10[[#This Row],[order weight ]]*Order_Report10[[#This Row],[Order Qty]]</f>
        <v>65</v>
      </c>
      <c r="N111" s="1">
        <v>2001806567</v>
      </c>
      <c r="O111">
        <f>SUMIFS(Order_Report10[_total weight ],Order_Report10[ExternOrderNo],$N111)</f>
        <v>952</v>
      </c>
      <c r="P111">
        <f>CEILING(Table811[[#This Row],[Total weight ]],0.5)</f>
        <v>952</v>
      </c>
      <c r="Q111" t="str">
        <f>_xlfn.XLOOKUP(Table811[[#This Row],[Ext Order No]],Invoice[Order ID],Invoice[Zone])</f>
        <v>d</v>
      </c>
      <c r="R111">
        <f>IF(pincodes[[#Headers],[Matching status]]="matched",'(abc)pincodes'!C110,'(abc)pincodes'!C110)</f>
        <v>0</v>
      </c>
      <c r="S111" t="e">
        <f>_xlfn.XLOOKUP(Table811[[#This Row],[ABC area ]],Invoice[Zone],Invoice[Type of Shipment])</f>
        <v>#N/A</v>
      </c>
      <c r="U111">
        <f>_xlfn.XLOOKUP(Table811[[#This Row],[Ext Order No]],Invoice[Order ID],Invoice[Billing Amount (Rs.)],"not found")</f>
        <v>135</v>
      </c>
      <c r="V111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1">
        <f>_xlfn.XLOOKUP(Table811[[#This Row],[Ext Order No]],Invoice[Order ID],Invoice[AWB Code])</f>
        <v>1091117224902</v>
      </c>
      <c r="X111" s="4" t="e">
        <f>((Table811[[#This Row],[Courirer Price ]]-Table811[[#This Row],[Expected Price]])/Table811[[#This Row],[Expected Price]])*100</f>
        <v>#DIV/0!</v>
      </c>
      <c r="Y111" s="4" t="e">
        <f>IF(Table811[[#This Row],[%change]]&gt;0,"Over Charged",IF(Table811[[#This Row],[%change]]=0,"Perfectly Charged",IF(Table811[[#This Row],[%change]]&lt;0,"Under Charged")))</f>
        <v>#DIV/0!</v>
      </c>
    </row>
    <row r="112" spans="1:25" x14ac:dyDescent="0.3">
      <c r="A112">
        <v>2001811306</v>
      </c>
      <c r="B112" t="s">
        <v>50</v>
      </c>
      <c r="C112">
        <v>1</v>
      </c>
      <c r="D112">
        <f>_xlfn.XLOOKUP(Order_Report10[[#This Row],[SKU]],SKU_Master[SKU],SKU_Master[Weight (g)],"not found")</f>
        <v>165</v>
      </c>
      <c r="E112">
        <f>Order_Report10[[#This Row],[order weight ]]*Order_Report10[[#This Row],[Order Qty]]</f>
        <v>165</v>
      </c>
      <c r="N112" s="1">
        <v>2001806547</v>
      </c>
      <c r="O112">
        <f>SUMIFS(Order_Report10[_total weight ],Order_Report10[ExternOrderNo],$N112)</f>
        <v>127</v>
      </c>
      <c r="P112">
        <f>CEILING(Table811[[#This Row],[Total weight ]],0.5)</f>
        <v>127</v>
      </c>
      <c r="Q112" t="str">
        <f>_xlfn.XLOOKUP(Table811[[#This Row],[Ext Order No]],Invoice[Order ID],Invoice[Zone])</f>
        <v>b</v>
      </c>
      <c r="R112">
        <f>IF(pincodes[[#Headers],[Matching status]]="matched",'(abc)pincodes'!C111,'(abc)pincodes'!C111)</f>
        <v>0</v>
      </c>
      <c r="S112" t="e">
        <f>_xlfn.XLOOKUP(Table811[[#This Row],[ABC area ]],Invoice[Zone],Invoice[Type of Shipment])</f>
        <v>#N/A</v>
      </c>
      <c r="U112">
        <f>_xlfn.XLOOKUP(Table811[[#This Row],[Ext Order No]],Invoice[Order ID],Invoice[Billing Amount (Rs.)],"not found")</f>
        <v>61.3</v>
      </c>
      <c r="V112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2">
        <f>_xlfn.XLOOKUP(Table811[[#This Row],[Ext Order No]],Invoice[Order ID],Invoice[AWB Code])</f>
        <v>1091117224611</v>
      </c>
      <c r="X112" s="4" t="e">
        <f>((Table811[[#This Row],[Courirer Price ]]-Table811[[#This Row],[Expected Price]])/Table811[[#This Row],[Expected Price]])*100</f>
        <v>#DIV/0!</v>
      </c>
      <c r="Y112" s="4" t="e">
        <f>IF(Table811[[#This Row],[%change]]&gt;0,"Over Charged",IF(Table811[[#This Row],[%change]]=0,"Perfectly Charged",IF(Table811[[#This Row],[%change]]&lt;0,"Under Charged")))</f>
        <v>#DIV/0!</v>
      </c>
    </row>
    <row r="113" spans="1:25" x14ac:dyDescent="0.3">
      <c r="A113">
        <v>2001811306</v>
      </c>
      <c r="B113" t="s">
        <v>69</v>
      </c>
      <c r="C113">
        <v>1</v>
      </c>
      <c r="D113">
        <f>_xlfn.XLOOKUP(Order_Report10[[#This Row],[SKU]],SKU_Master[SKU],SKU_Master[Weight (g)],"not found")</f>
        <v>300</v>
      </c>
      <c r="E113">
        <f>Order_Report10[[#This Row],[order weight ]]*Order_Report10[[#This Row],[Order Qty]]</f>
        <v>300</v>
      </c>
      <c r="N113" s="2">
        <v>2001806533</v>
      </c>
      <c r="O113">
        <f>SUMIFS(Order_Report10[_total weight ],Order_Report10[ExternOrderNo],$N113)</f>
        <v>500</v>
      </c>
      <c r="P113">
        <f>CEILING(Table811[[#This Row],[Total weight ]],0.5)</f>
        <v>500</v>
      </c>
      <c r="Q113" t="str">
        <f>_xlfn.XLOOKUP(Table811[[#This Row],[Ext Order No]],Invoice[Order ID],Invoice[Zone])</f>
        <v>d</v>
      </c>
      <c r="R113">
        <f>IF(pincodes[[#Headers],[Matching status]]="matched",'(abc)pincodes'!C112,'(abc)pincodes'!C112)</f>
        <v>0</v>
      </c>
      <c r="S113" t="e">
        <f>_xlfn.XLOOKUP(Table811[[#This Row],[ABC area ]],Invoice[Zone],Invoice[Type of Shipment])</f>
        <v>#N/A</v>
      </c>
      <c r="U113">
        <f>_xlfn.XLOOKUP(Table811[[#This Row],[Ext Order No]],Invoice[Order ID],Invoice[Billing Amount (Rs.)],"not found")</f>
        <v>90.2</v>
      </c>
      <c r="V113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3">
        <f>_xlfn.XLOOKUP(Table811[[#This Row],[Ext Order No]],Invoice[Order ID],Invoice[AWB Code])</f>
        <v>1091117224353</v>
      </c>
      <c r="X113" s="4" t="e">
        <f>((Table811[[#This Row],[Courirer Price ]]-Table811[[#This Row],[Expected Price]])/Table811[[#This Row],[Expected Price]])*100</f>
        <v>#DIV/0!</v>
      </c>
      <c r="Y113" s="4" t="e">
        <f>IF(Table811[[#This Row],[%change]]&gt;0,"Over Charged",IF(Table811[[#This Row],[%change]]=0,"Perfectly Charged",IF(Table811[[#This Row],[%change]]&lt;0,"Under Charged")))</f>
        <v>#DIV/0!</v>
      </c>
    </row>
    <row r="114" spans="1:25" x14ac:dyDescent="0.3">
      <c r="A114">
        <v>2001811306</v>
      </c>
      <c r="B114" t="s">
        <v>43</v>
      </c>
      <c r="C114">
        <v>1</v>
      </c>
      <c r="D114">
        <f>_xlfn.XLOOKUP(Order_Report10[[#This Row],[SKU]],SKU_Master[SKU],SKU_Master[Weight (g)],"not found")</f>
        <v>240</v>
      </c>
      <c r="E114">
        <f>Order_Report10[[#This Row],[order weight ]]*Order_Report10[[#This Row],[Order Qty]]</f>
        <v>240</v>
      </c>
      <c r="N114" s="1">
        <v>2001806471</v>
      </c>
      <c r="O114">
        <f>SUMIFS(Order_Report10[_total weight ],Order_Report10[ExternOrderNo],$N114)</f>
        <v>1621</v>
      </c>
      <c r="P114">
        <f>CEILING(Table811[[#This Row],[Total weight ]],0.5)</f>
        <v>1621</v>
      </c>
      <c r="Q114" t="str">
        <f>_xlfn.XLOOKUP(Table811[[#This Row],[Ext Order No]],Invoice[Order ID],Invoice[Zone])</f>
        <v>d</v>
      </c>
      <c r="R114">
        <f>IF(pincodes[[#Headers],[Matching status]]="matched",'(abc)pincodes'!C113,'(abc)pincodes'!C113)</f>
        <v>0</v>
      </c>
      <c r="S114" t="e">
        <f>_xlfn.XLOOKUP(Table811[[#This Row],[ABC area ]],Invoice[Zone],Invoice[Type of Shipment])</f>
        <v>#N/A</v>
      </c>
      <c r="U114">
        <f>_xlfn.XLOOKUP(Table811[[#This Row],[Ext Order No]],Invoice[Order ID],Invoice[Billing Amount (Rs.)],"not found")</f>
        <v>179.8</v>
      </c>
      <c r="V114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4">
        <f>_xlfn.XLOOKUP(Table811[[#This Row],[Ext Order No]],Invoice[Order ID],Invoice[AWB Code])</f>
        <v>1091117223351</v>
      </c>
      <c r="X114" s="4" t="e">
        <f>((Table811[[#This Row],[Courirer Price ]]-Table811[[#This Row],[Expected Price]])/Table811[[#This Row],[Expected Price]])*100</f>
        <v>#DIV/0!</v>
      </c>
      <c r="Y114" s="4" t="e">
        <f>IF(Table811[[#This Row],[%change]]&gt;0,"Over Charged",IF(Table811[[#This Row],[%change]]=0,"Perfectly Charged",IF(Table811[[#This Row],[%change]]&lt;0,"Under Charged")))</f>
        <v>#DIV/0!</v>
      </c>
    </row>
    <row r="115" spans="1:25" x14ac:dyDescent="0.3">
      <c r="A115">
        <v>2001811306</v>
      </c>
      <c r="B115" t="s">
        <v>62</v>
      </c>
      <c r="C115">
        <v>1</v>
      </c>
      <c r="D115">
        <f>_xlfn.XLOOKUP(Order_Report10[[#This Row],[SKU]],SKU_Master[SKU],SKU_Master[Weight (g)],"not found")</f>
        <v>240</v>
      </c>
      <c r="E115">
        <f>Order_Report10[[#This Row],[order weight ]]*Order_Report10[[#This Row],[Order Qty]]</f>
        <v>240</v>
      </c>
      <c r="N115" s="2">
        <v>2001806458</v>
      </c>
      <c r="O115">
        <f>SUMIFS(Order_Report10[_total weight ],Order_Report10[ExternOrderNo],$N115)</f>
        <v>700</v>
      </c>
      <c r="P115">
        <f>CEILING(Table811[[#This Row],[Total weight ]],0.5)</f>
        <v>700</v>
      </c>
      <c r="Q115" t="str">
        <f>_xlfn.XLOOKUP(Table811[[#This Row],[Ext Order No]],Invoice[Order ID],Invoice[Zone])</f>
        <v>b</v>
      </c>
      <c r="R115">
        <f>IF(pincodes[[#Headers],[Matching status]]="matched",'(abc)pincodes'!C114,'(abc)pincodes'!C114)</f>
        <v>0</v>
      </c>
      <c r="S115" t="e">
        <f>_xlfn.XLOOKUP(Table811[[#This Row],[ABC area ]],Invoice[Zone],Invoice[Type of Shipment])</f>
        <v>#N/A</v>
      </c>
      <c r="U115">
        <f>_xlfn.XLOOKUP(Table811[[#This Row],[Ext Order No]],Invoice[Order ID],Invoice[Billing Amount (Rs.)],"not found")</f>
        <v>61.3</v>
      </c>
      <c r="V115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5">
        <f>_xlfn.XLOOKUP(Table811[[#This Row],[Ext Order No]],Invoice[Order ID],Invoice[AWB Code])</f>
        <v>1091117223244</v>
      </c>
      <c r="X115" s="4" t="e">
        <f>((Table811[[#This Row],[Courirer Price ]]-Table811[[#This Row],[Expected Price]])/Table811[[#This Row],[Expected Price]])*100</f>
        <v>#DIV/0!</v>
      </c>
      <c r="Y115" s="4" t="e">
        <f>IF(Table811[[#This Row],[%change]]&gt;0,"Over Charged",IF(Table811[[#This Row],[%change]]=0,"Perfectly Charged",IF(Table811[[#This Row],[%change]]&lt;0,"Under Charged")))</f>
        <v>#DIV/0!</v>
      </c>
    </row>
    <row r="116" spans="1:25" x14ac:dyDescent="0.3">
      <c r="A116">
        <v>2001811305</v>
      </c>
      <c r="B116" t="s">
        <v>10</v>
      </c>
      <c r="C116">
        <v>1</v>
      </c>
      <c r="D116">
        <f>_xlfn.XLOOKUP(Order_Report10[[#This Row],[SKU]],SKU_Master[SKU],SKU_Master[Weight (g)],"not found")</f>
        <v>120</v>
      </c>
      <c r="E116">
        <f>Order_Report10[[#This Row],[order weight ]]*Order_Report10[[#This Row],[Order Qty]]</f>
        <v>120</v>
      </c>
      <c r="N116" s="2">
        <v>2001806446</v>
      </c>
      <c r="O116">
        <f>SUMIFS(Order_Report10[_total weight ],Order_Report10[ExternOrderNo],$N116)</f>
        <v>500</v>
      </c>
      <c r="P116">
        <f>CEILING(Table811[[#This Row],[Total weight ]],0.5)</f>
        <v>500</v>
      </c>
      <c r="Q116" t="str">
        <f>_xlfn.XLOOKUP(Table811[[#This Row],[Ext Order No]],Invoice[Order ID],Invoice[Zone])</f>
        <v>d</v>
      </c>
      <c r="R116">
        <f>IF(pincodes[[#Headers],[Matching status]]="matched",'(abc)pincodes'!C115,'(abc)pincodes'!C115)</f>
        <v>0</v>
      </c>
      <c r="S116" t="e">
        <f>_xlfn.XLOOKUP(Table811[[#This Row],[ABC area ]],Invoice[Zone],Invoice[Type of Shipment])</f>
        <v>#N/A</v>
      </c>
      <c r="U116">
        <f>_xlfn.XLOOKUP(Table811[[#This Row],[Ext Order No]],Invoice[Order ID],Invoice[Billing Amount (Rs.)],"not found")</f>
        <v>90.2</v>
      </c>
      <c r="V116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6">
        <f>_xlfn.XLOOKUP(Table811[[#This Row],[Ext Order No]],Invoice[Order ID],Invoice[AWB Code])</f>
        <v>1091117223211</v>
      </c>
      <c r="X116" s="4" t="e">
        <f>((Table811[[#This Row],[Courirer Price ]]-Table811[[#This Row],[Expected Price]])/Table811[[#This Row],[Expected Price]])*100</f>
        <v>#DIV/0!</v>
      </c>
      <c r="Y116" s="4" t="e">
        <f>IF(Table811[[#This Row],[%change]]&gt;0,"Over Charged",IF(Table811[[#This Row],[%change]]=0,"Perfectly Charged",IF(Table811[[#This Row],[%change]]&lt;0,"Under Charged")))</f>
        <v>#DIV/0!</v>
      </c>
    </row>
    <row r="117" spans="1:25" x14ac:dyDescent="0.3">
      <c r="A117">
        <v>2001811305</v>
      </c>
      <c r="B117" t="s">
        <v>67</v>
      </c>
      <c r="C117">
        <v>1</v>
      </c>
      <c r="D117">
        <f>_xlfn.XLOOKUP(Order_Report10[[#This Row],[SKU]],SKU_Master[SKU],SKU_Master[Weight (g)],"not found")</f>
        <v>210</v>
      </c>
      <c r="E117">
        <f>Order_Report10[[#This Row],[order weight ]]*Order_Report10[[#This Row],[Order Qty]]</f>
        <v>210</v>
      </c>
      <c r="N117" s="1">
        <v>2001806408</v>
      </c>
      <c r="O117">
        <f>SUMIFS(Order_Report10[_total weight ],Order_Report10[ExternOrderNo],$N117)</f>
        <v>2265</v>
      </c>
      <c r="P117">
        <f>CEILING(Table811[[#This Row],[Total weight ]],0.5)</f>
        <v>2265</v>
      </c>
      <c r="Q117" t="str">
        <f>_xlfn.XLOOKUP(Table811[[#This Row],[Ext Order No]],Invoice[Order ID],Invoice[Zone])</f>
        <v>d</v>
      </c>
      <c r="R117">
        <f>IF(pincodes[[#Headers],[Matching status]]="matched",'(abc)pincodes'!C116,'(abc)pincodes'!C116)</f>
        <v>0</v>
      </c>
      <c r="S117" t="e">
        <f>_xlfn.XLOOKUP(Table811[[#This Row],[ABC area ]],Invoice[Zone],Invoice[Type of Shipment])</f>
        <v>#N/A</v>
      </c>
      <c r="U117">
        <f>_xlfn.XLOOKUP(Table811[[#This Row],[Ext Order No]],Invoice[Order ID],Invoice[Billing Amount (Rs.)],"not found")</f>
        <v>224.6</v>
      </c>
      <c r="V117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7">
        <f>_xlfn.XLOOKUP(Table811[[#This Row],[Ext Order No]],Invoice[Order ID],Invoice[AWB Code])</f>
        <v>1091117222931</v>
      </c>
      <c r="X117" s="4" t="e">
        <f>((Table811[[#This Row],[Courirer Price ]]-Table811[[#This Row],[Expected Price]])/Table811[[#This Row],[Expected Price]])*100</f>
        <v>#DIV/0!</v>
      </c>
      <c r="Y117" s="4" t="e">
        <f>IF(Table811[[#This Row],[%change]]&gt;0,"Over Charged",IF(Table811[[#This Row],[%change]]=0,"Perfectly Charged",IF(Table811[[#This Row],[%change]]&lt;0,"Under Charged")))</f>
        <v>#DIV/0!</v>
      </c>
    </row>
    <row r="118" spans="1:25" x14ac:dyDescent="0.3">
      <c r="A118">
        <v>2001811305</v>
      </c>
      <c r="B118" t="s">
        <v>66</v>
      </c>
      <c r="C118">
        <v>1</v>
      </c>
      <c r="D118">
        <f>_xlfn.XLOOKUP(Order_Report10[[#This Row],[SKU]],SKU_Master[SKU],SKU_Master[Weight (g)],"not found")</f>
        <v>210</v>
      </c>
      <c r="E118">
        <f>Order_Report10[[#This Row],[order weight ]]*Order_Report10[[#This Row],[Order Qty]]</f>
        <v>210</v>
      </c>
      <c r="N118" s="1">
        <v>2001806338</v>
      </c>
      <c r="O118">
        <f>SUMIFS(Order_Report10[_total weight ],Order_Report10[ExternOrderNo],$N118)</f>
        <v>500</v>
      </c>
      <c r="P118">
        <f>CEILING(Table811[[#This Row],[Total weight ]],0.5)</f>
        <v>500</v>
      </c>
      <c r="Q118" t="str">
        <f>_xlfn.XLOOKUP(Table811[[#This Row],[Ext Order No]],Invoice[Order ID],Invoice[Zone])</f>
        <v>d</v>
      </c>
      <c r="R118">
        <f>IF(pincodes[[#Headers],[Matching status]]="matched",'(abc)pincodes'!C117,'(abc)pincodes'!C117)</f>
        <v>0</v>
      </c>
      <c r="S118" t="e">
        <f>_xlfn.XLOOKUP(Table811[[#This Row],[ABC area ]],Invoice[Zone],Invoice[Type of Shipment])</f>
        <v>#N/A</v>
      </c>
      <c r="U118">
        <f>_xlfn.XLOOKUP(Table811[[#This Row],[Ext Order No]],Invoice[Order ID],Invoice[Billing Amount (Rs.)],"not found")</f>
        <v>90.2</v>
      </c>
      <c r="V118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8">
        <f>_xlfn.XLOOKUP(Table811[[#This Row],[Ext Order No]],Invoice[Order ID],Invoice[AWB Code])</f>
        <v>1091117222570</v>
      </c>
      <c r="X118" s="4" t="e">
        <f>((Table811[[#This Row],[Courirer Price ]]-Table811[[#This Row],[Expected Price]])/Table811[[#This Row],[Expected Price]])*100</f>
        <v>#DIV/0!</v>
      </c>
      <c r="Y118" s="4" t="e">
        <f>IF(Table811[[#This Row],[%change]]&gt;0,"Over Charged",IF(Table811[[#This Row],[%change]]=0,"Perfectly Charged",IF(Table811[[#This Row],[%change]]&lt;0,"Under Charged")))</f>
        <v>#DIV/0!</v>
      </c>
    </row>
    <row r="119" spans="1:25" x14ac:dyDescent="0.3">
      <c r="A119">
        <v>2001811305</v>
      </c>
      <c r="B119" t="s">
        <v>68</v>
      </c>
      <c r="C119">
        <v>1</v>
      </c>
      <c r="D119">
        <f>_xlfn.XLOOKUP(Order_Report10[[#This Row],[SKU]],SKU_Master[SKU],SKU_Master[Weight (g)],"not found")</f>
        <v>210</v>
      </c>
      <c r="E119">
        <f>Order_Report10[[#This Row],[order weight ]]*Order_Report10[[#This Row],[Order Qty]]</f>
        <v>210</v>
      </c>
      <c r="N119" s="2">
        <v>2001806304</v>
      </c>
      <c r="O119">
        <f>SUMIFS(Order_Report10[_total weight ],Order_Report10[ExternOrderNo],$N119)</f>
        <v>500</v>
      </c>
      <c r="P119">
        <f>CEILING(Table811[[#This Row],[Total weight ]],0.5)</f>
        <v>500</v>
      </c>
      <c r="Q119" t="str">
        <f>_xlfn.XLOOKUP(Table811[[#This Row],[Ext Order No]],Invoice[Order ID],Invoice[Zone])</f>
        <v>d</v>
      </c>
      <c r="R119">
        <f>IF(pincodes[[#Headers],[Matching status]]="matched",'(abc)pincodes'!C118,'(abc)pincodes'!C118)</f>
        <v>0</v>
      </c>
      <c r="S119" t="e">
        <f>_xlfn.XLOOKUP(Table811[[#This Row],[ABC area ]],Invoice[Zone],Invoice[Type of Shipment])</f>
        <v>#N/A</v>
      </c>
      <c r="U119">
        <f>_xlfn.XLOOKUP(Table811[[#This Row],[Ext Order No]],Invoice[Order ID],Invoice[Billing Amount (Rs.)],"not found")</f>
        <v>90.2</v>
      </c>
      <c r="V119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19">
        <f>_xlfn.XLOOKUP(Table811[[#This Row],[Ext Order No]],Invoice[Order ID],Invoice[AWB Code])</f>
        <v>1091117222360</v>
      </c>
      <c r="X119" s="4" t="e">
        <f>((Table811[[#This Row],[Courirer Price ]]-Table811[[#This Row],[Expected Price]])/Table811[[#This Row],[Expected Price]])*100</f>
        <v>#DIV/0!</v>
      </c>
      <c r="Y119" s="4" t="e">
        <f>IF(Table811[[#This Row],[%change]]&gt;0,"Over Charged",IF(Table811[[#This Row],[%change]]=0,"Perfectly Charged",IF(Table811[[#This Row],[%change]]&lt;0,"Under Charged")))</f>
        <v>#DIV/0!</v>
      </c>
    </row>
    <row r="120" spans="1:25" x14ac:dyDescent="0.3">
      <c r="A120">
        <v>2001811229</v>
      </c>
      <c r="B120" t="s">
        <v>62</v>
      </c>
      <c r="C120">
        <v>1</v>
      </c>
      <c r="D120">
        <f>_xlfn.XLOOKUP(Order_Report10[[#This Row],[SKU]],SKU_Master[SKU],SKU_Master[Weight (g)],"not found")</f>
        <v>240</v>
      </c>
      <c r="E120">
        <f>Order_Report10[[#This Row],[order weight ]]*Order_Report10[[#This Row],[Order Qty]]</f>
        <v>240</v>
      </c>
      <c r="N120" s="1">
        <v>2001806273</v>
      </c>
      <c r="O120">
        <f>SUMIFS(Order_Report10[_total weight ],Order_Report10[ExternOrderNo],$N120)</f>
        <v>615</v>
      </c>
      <c r="P120">
        <f>CEILING(Table811[[#This Row],[Total weight ]],0.5)</f>
        <v>615</v>
      </c>
      <c r="Q120" t="str">
        <f>_xlfn.XLOOKUP(Table811[[#This Row],[Ext Order No]],Invoice[Order ID],Invoice[Zone])</f>
        <v>d</v>
      </c>
      <c r="R120">
        <f>IF(pincodes[[#Headers],[Matching status]]="matched",'(abc)pincodes'!C119,'(abc)pincodes'!C119)</f>
        <v>0</v>
      </c>
      <c r="S120" t="e">
        <f>_xlfn.XLOOKUP(Table811[[#This Row],[ABC area ]],Invoice[Zone],Invoice[Type of Shipment])</f>
        <v>#N/A</v>
      </c>
      <c r="U120">
        <f>_xlfn.XLOOKUP(Table811[[#This Row],[Ext Order No]],Invoice[Order ID],Invoice[Billing Amount (Rs.)],"not found")</f>
        <v>90.2</v>
      </c>
      <c r="V120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0">
        <f>_xlfn.XLOOKUP(Table811[[#This Row],[Ext Order No]],Invoice[Order ID],Invoice[AWB Code])</f>
        <v>1091117222194</v>
      </c>
      <c r="X120" s="4" t="e">
        <f>((Table811[[#This Row],[Courirer Price ]]-Table811[[#This Row],[Expected Price]])/Table811[[#This Row],[Expected Price]])*100</f>
        <v>#DIV/0!</v>
      </c>
      <c r="Y120" s="4" t="e">
        <f>IF(Table811[[#This Row],[%change]]&gt;0,"Over Charged",IF(Table811[[#This Row],[%change]]=0,"Perfectly Charged",IF(Table811[[#This Row],[%change]]&lt;0,"Under Charged")))</f>
        <v>#DIV/0!</v>
      </c>
    </row>
    <row r="121" spans="1:25" x14ac:dyDescent="0.3">
      <c r="A121">
        <v>2001811229</v>
      </c>
      <c r="B121" t="s">
        <v>49</v>
      </c>
      <c r="C121">
        <v>1</v>
      </c>
      <c r="D121">
        <f>_xlfn.XLOOKUP(Order_Report10[[#This Row],[SKU]],SKU_Master[SKU],SKU_Master[Weight (g)],"not found")</f>
        <v>165</v>
      </c>
      <c r="E121">
        <f>Order_Report10[[#This Row],[order weight ]]*Order_Report10[[#This Row],[Order Qty]]</f>
        <v>165</v>
      </c>
      <c r="N121" s="1">
        <v>2001806251</v>
      </c>
      <c r="O121">
        <f>SUMIFS(Order_Report10[_total weight ],Order_Report10[ExternOrderNo],$N121)</f>
        <v>245</v>
      </c>
      <c r="P121">
        <f>CEILING(Table811[[#This Row],[Total weight ]],0.5)</f>
        <v>245</v>
      </c>
      <c r="Q121" t="str">
        <f>_xlfn.XLOOKUP(Table811[[#This Row],[Ext Order No]],Invoice[Order ID],Invoice[Zone])</f>
        <v>d</v>
      </c>
      <c r="R121">
        <f>IF(pincodes[[#Headers],[Matching status]]="matched",'(abc)pincodes'!C120,'(abc)pincodes'!C120)</f>
        <v>0</v>
      </c>
      <c r="S121" t="e">
        <f>_xlfn.XLOOKUP(Table811[[#This Row],[ABC area ]],Invoice[Zone],Invoice[Type of Shipment])</f>
        <v>#N/A</v>
      </c>
      <c r="U121">
        <f>_xlfn.XLOOKUP(Table811[[#This Row],[Ext Order No]],Invoice[Order ID],Invoice[Billing Amount (Rs.)],"not found")</f>
        <v>135</v>
      </c>
      <c r="V121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1">
        <f>_xlfn.XLOOKUP(Table811[[#This Row],[Ext Order No]],Invoice[Order ID],Invoice[AWB Code])</f>
        <v>1091117222146</v>
      </c>
      <c r="X121" s="4" t="e">
        <f>((Table811[[#This Row],[Courirer Price ]]-Table811[[#This Row],[Expected Price]])/Table811[[#This Row],[Expected Price]])*100</f>
        <v>#DIV/0!</v>
      </c>
      <c r="Y121" s="4" t="e">
        <f>IF(Table811[[#This Row],[%change]]&gt;0,"Over Charged",IF(Table811[[#This Row],[%change]]=0,"Perfectly Charged",IF(Table811[[#This Row],[%change]]&lt;0,"Under Charged")))</f>
        <v>#DIV/0!</v>
      </c>
    </row>
    <row r="122" spans="1:25" x14ac:dyDescent="0.3">
      <c r="A122">
        <v>2001811229</v>
      </c>
      <c r="B122" t="s">
        <v>32</v>
      </c>
      <c r="C122">
        <v>1</v>
      </c>
      <c r="D122">
        <f>_xlfn.XLOOKUP(Order_Report10[[#This Row],[SKU]],SKU_Master[SKU],SKU_Master[Weight (g)],"not found")</f>
        <v>100</v>
      </c>
      <c r="E122">
        <f>Order_Report10[[#This Row],[order weight ]]*Order_Report10[[#This Row],[Order Qty]]</f>
        <v>100</v>
      </c>
      <c r="N122" s="1">
        <v>2001806233</v>
      </c>
      <c r="O122">
        <f>SUMIFS(Order_Report10[_total weight ],Order_Report10[ExternOrderNo],$N122)</f>
        <v>245</v>
      </c>
      <c r="P122">
        <f>CEILING(Table811[[#This Row],[Total weight ]],0.5)</f>
        <v>245</v>
      </c>
      <c r="Q122" t="str">
        <f>_xlfn.XLOOKUP(Table811[[#This Row],[Ext Order No]],Invoice[Order ID],Invoice[Zone])</f>
        <v>b</v>
      </c>
      <c r="R122">
        <f>IF(pincodes[[#Headers],[Matching status]]="matched",'(abc)pincodes'!C121,'(abc)pincodes'!C121)</f>
        <v>0</v>
      </c>
      <c r="S122" t="e">
        <f>_xlfn.XLOOKUP(Table811[[#This Row],[ABC area ]],Invoice[Zone],Invoice[Type of Shipment])</f>
        <v>#N/A</v>
      </c>
      <c r="U122">
        <f>_xlfn.XLOOKUP(Table811[[#This Row],[Ext Order No]],Invoice[Order ID],Invoice[Billing Amount (Rs.)],"not found")</f>
        <v>61.3</v>
      </c>
      <c r="V122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2">
        <f>_xlfn.XLOOKUP(Table811[[#This Row],[Ext Order No]],Invoice[Order ID],Invoice[AWB Code])</f>
        <v>1091117222135</v>
      </c>
      <c r="X122" s="4" t="e">
        <f>((Table811[[#This Row],[Courirer Price ]]-Table811[[#This Row],[Expected Price]])/Table811[[#This Row],[Expected Price]])*100</f>
        <v>#DIV/0!</v>
      </c>
      <c r="Y122" s="4" t="e">
        <f>IF(Table811[[#This Row],[%change]]&gt;0,"Over Charged",IF(Table811[[#This Row],[%change]]=0,"Perfectly Charged",IF(Table811[[#This Row],[%change]]&lt;0,"Under Charged")))</f>
        <v>#DIV/0!</v>
      </c>
    </row>
    <row r="123" spans="1:25" x14ac:dyDescent="0.3">
      <c r="A123">
        <v>2001811192</v>
      </c>
      <c r="B123" t="s">
        <v>10</v>
      </c>
      <c r="C123">
        <v>1</v>
      </c>
      <c r="D123">
        <f>_xlfn.XLOOKUP(Order_Report10[[#This Row],[SKU]],SKU_Master[SKU],SKU_Master[Weight (g)],"not found")</f>
        <v>120</v>
      </c>
      <c r="E123">
        <f>Order_Report10[[#This Row],[order weight ]]*Order_Report10[[#This Row],[Order Qty]]</f>
        <v>120</v>
      </c>
      <c r="N123" s="1">
        <v>2001806232</v>
      </c>
      <c r="O123">
        <f>SUMIFS(Order_Report10[_total weight ],Order_Report10[ExternOrderNo],$N123)</f>
        <v>1302</v>
      </c>
      <c r="P123">
        <f>CEILING(Table811[[#This Row],[Total weight ]],0.5)</f>
        <v>1302</v>
      </c>
      <c r="Q123" t="str">
        <f>_xlfn.XLOOKUP(Table811[[#This Row],[Ext Order No]],Invoice[Order ID],Invoice[Zone])</f>
        <v>d</v>
      </c>
      <c r="R123">
        <f>IF(pincodes[[#Headers],[Matching status]]="matched",'(abc)pincodes'!C122,'(abc)pincodes'!C122)</f>
        <v>0</v>
      </c>
      <c r="S123" t="e">
        <f>_xlfn.XLOOKUP(Table811[[#This Row],[ABC area ]],Invoice[Zone],Invoice[Type of Shipment])</f>
        <v>#N/A</v>
      </c>
      <c r="U123">
        <f>_xlfn.XLOOKUP(Table811[[#This Row],[Ext Order No]],Invoice[Order ID],Invoice[Billing Amount (Rs.)],"not found")</f>
        <v>135</v>
      </c>
      <c r="V123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3">
        <f>_xlfn.XLOOKUP(Table811[[#This Row],[Ext Order No]],Invoice[Order ID],Invoice[AWB Code])</f>
        <v>1091117222124</v>
      </c>
      <c r="X123" s="4" t="e">
        <f>((Table811[[#This Row],[Courirer Price ]]-Table811[[#This Row],[Expected Price]])/Table811[[#This Row],[Expected Price]])*100</f>
        <v>#DIV/0!</v>
      </c>
      <c r="Y123" s="4" t="e">
        <f>IF(Table811[[#This Row],[%change]]&gt;0,"Over Charged",IF(Table811[[#This Row],[%change]]=0,"Perfectly Charged",IF(Table811[[#This Row],[%change]]&lt;0,"Under Charged")))</f>
        <v>#DIV/0!</v>
      </c>
    </row>
    <row r="124" spans="1:25" x14ac:dyDescent="0.3">
      <c r="A124">
        <v>2001811192</v>
      </c>
      <c r="B124" t="s">
        <v>32</v>
      </c>
      <c r="C124">
        <v>1</v>
      </c>
      <c r="D124">
        <f>_xlfn.XLOOKUP(Order_Report10[[#This Row],[SKU]],SKU_Master[SKU],SKU_Master[Weight (g)],"not found")</f>
        <v>100</v>
      </c>
      <c r="E124">
        <f>Order_Report10[[#This Row],[order weight ]]*Order_Report10[[#This Row],[Order Qty]]</f>
        <v>100</v>
      </c>
      <c r="N124" s="1">
        <v>2001806229</v>
      </c>
      <c r="O124">
        <f>SUMIFS(Order_Report10[_total weight ],Order_Report10[ExternOrderNo],$N124)</f>
        <v>500</v>
      </c>
      <c r="P124">
        <f>CEILING(Table811[[#This Row],[Total weight ]],0.5)</f>
        <v>500</v>
      </c>
      <c r="Q124" t="str">
        <f>_xlfn.XLOOKUP(Table811[[#This Row],[Ext Order No]],Invoice[Order ID],Invoice[Zone])</f>
        <v>d</v>
      </c>
      <c r="R124">
        <f>IF(pincodes[[#Headers],[Matching status]]="matched",'(abc)pincodes'!C123,'(abc)pincodes'!C123)</f>
        <v>0</v>
      </c>
      <c r="S124" t="e">
        <f>_xlfn.XLOOKUP(Table811[[#This Row],[ABC area ]],Invoice[Zone],Invoice[Type of Shipment])</f>
        <v>#N/A</v>
      </c>
      <c r="U124">
        <f>_xlfn.XLOOKUP(Table811[[#This Row],[Ext Order No]],Invoice[Order ID],Invoice[Billing Amount (Rs.)],"not found")</f>
        <v>90.2</v>
      </c>
      <c r="V124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4">
        <f>_xlfn.XLOOKUP(Table811[[#This Row],[Ext Order No]],Invoice[Order ID],Invoice[AWB Code])</f>
        <v>1091117222080</v>
      </c>
      <c r="X124" s="4" t="e">
        <f>((Table811[[#This Row],[Courirer Price ]]-Table811[[#This Row],[Expected Price]])/Table811[[#This Row],[Expected Price]])*100</f>
        <v>#DIV/0!</v>
      </c>
      <c r="Y124" s="4" t="e">
        <f>IF(Table811[[#This Row],[%change]]&gt;0,"Over Charged",IF(Table811[[#This Row],[%change]]=0,"Perfectly Charged",IF(Table811[[#This Row],[%change]]&lt;0,"Under Charged")))</f>
        <v>#DIV/0!</v>
      </c>
    </row>
    <row r="125" spans="1:25" x14ac:dyDescent="0.3">
      <c r="A125">
        <v>2001811192</v>
      </c>
      <c r="B125" t="s">
        <v>45</v>
      </c>
      <c r="C125">
        <v>1</v>
      </c>
      <c r="D125">
        <f>_xlfn.XLOOKUP(Order_Report10[[#This Row],[SKU]],SKU_Master[SKU],SKU_Master[Weight (g)],"not found")</f>
        <v>140</v>
      </c>
      <c r="E125">
        <f>Order_Report10[[#This Row],[order weight ]]*Order_Report10[[#This Row],[Order Qty]]</f>
        <v>140</v>
      </c>
      <c r="N125" s="2">
        <v>2001806226</v>
      </c>
      <c r="O125">
        <f>SUMIFS(Order_Report10[_total weight ],Order_Report10[ExternOrderNo],$N125)</f>
        <v>480</v>
      </c>
      <c r="P125">
        <f>CEILING(Table811[[#This Row],[Total weight ]],0.5)</f>
        <v>480</v>
      </c>
      <c r="Q125" t="str">
        <f>_xlfn.XLOOKUP(Table811[[#This Row],[Ext Order No]],Invoice[Order ID],Invoice[Zone])</f>
        <v>d</v>
      </c>
      <c r="R125">
        <f>IF(pincodes[[#Headers],[Matching status]]="matched",'(abc)pincodes'!C124,'(abc)pincodes'!C124)</f>
        <v>0</v>
      </c>
      <c r="S125" t="e">
        <f>_xlfn.XLOOKUP(Table811[[#This Row],[ABC area ]],Invoice[Zone],Invoice[Type of Shipment])</f>
        <v>#N/A</v>
      </c>
      <c r="U125">
        <f>_xlfn.XLOOKUP(Table811[[#This Row],[Ext Order No]],Invoice[Order ID],Invoice[Billing Amount (Rs.)],"not found")</f>
        <v>90.2</v>
      </c>
      <c r="V125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5">
        <f>_xlfn.XLOOKUP(Table811[[#This Row],[Ext Order No]],Invoice[Order ID],Invoice[AWB Code])</f>
        <v>1091117222065</v>
      </c>
      <c r="X125" s="4" t="e">
        <f>((Table811[[#This Row],[Courirer Price ]]-Table811[[#This Row],[Expected Price]])/Table811[[#This Row],[Expected Price]])*100</f>
        <v>#DIV/0!</v>
      </c>
      <c r="Y125" s="4" t="e">
        <f>IF(Table811[[#This Row],[%change]]&gt;0,"Over Charged",IF(Table811[[#This Row],[%change]]=0,"Perfectly Charged",IF(Table811[[#This Row],[%change]]&lt;0,"Under Charged")))</f>
        <v>#DIV/0!</v>
      </c>
    </row>
    <row r="126" spans="1:25" x14ac:dyDescent="0.3">
      <c r="A126">
        <v>2001811192</v>
      </c>
      <c r="B126" t="s">
        <v>54</v>
      </c>
      <c r="C126">
        <v>2</v>
      </c>
      <c r="D126">
        <f>_xlfn.XLOOKUP(Order_Report10[[#This Row],[SKU]],SKU_Master[SKU],SKU_Master[Weight (g)],"not found")</f>
        <v>112</v>
      </c>
      <c r="E126">
        <f>Order_Report10[[#This Row],[order weight ]]*Order_Report10[[#This Row],[Order Qty]]</f>
        <v>224</v>
      </c>
      <c r="N126" s="1">
        <v>2001806210</v>
      </c>
      <c r="O126">
        <f>SUMIFS(Order_Report10[_total weight ],Order_Report10[ExternOrderNo],$N126)</f>
        <v>220</v>
      </c>
      <c r="P126">
        <f>CEILING(Table811[[#This Row],[Total weight ]],0.5)</f>
        <v>220</v>
      </c>
      <c r="Q126" t="str">
        <f>_xlfn.XLOOKUP(Table811[[#This Row],[Ext Order No]],Invoice[Order ID],Invoice[Zone])</f>
        <v>b</v>
      </c>
      <c r="R126">
        <f>IF(pincodes[[#Headers],[Matching status]]="matched",'(abc)pincodes'!C125,'(abc)pincodes'!C125)</f>
        <v>0</v>
      </c>
      <c r="S126" t="e">
        <f>_xlfn.XLOOKUP(Table811[[#This Row],[ABC area ]],Invoice[Zone],Invoice[Type of Shipment])</f>
        <v>#N/A</v>
      </c>
      <c r="U126">
        <f>_xlfn.XLOOKUP(Table811[[#This Row],[Ext Order No]],Invoice[Order ID],Invoice[Billing Amount (Rs.)],"not found")</f>
        <v>174.5</v>
      </c>
      <c r="V126" t="b">
        <f>IF(AND(Table811[[#This Row],[Shipment short_1]]="fwd",Table811[[#This Row],[ABC area ]]="d"),'Courier Company - Rates'!G$8,IF(AND(Table811[[#This Row],[Shipment short_1]]="fwd",Table811[[#This Row],[ABC area ]]="b"),'Courier Company - Rates'!G$7))</f>
        <v>0</v>
      </c>
      <c r="W126">
        <f>_xlfn.XLOOKUP(Table811[[#This Row],[Ext Order No]],Invoice[Order ID],Invoice[AWB Code])</f>
        <v>1091117221940</v>
      </c>
      <c r="X126" s="4" t="e">
        <f>((Table811[[#This Row],[Courirer Price ]]-Table811[[#This Row],[Expected Price]])/Table811[[#This Row],[Expected Price]])*100</f>
        <v>#DIV/0!</v>
      </c>
      <c r="Y126" s="4" t="e">
        <f>IF(Table811[[#This Row],[%change]]&gt;0,"Over Charged",IF(Table811[[#This Row],[%change]]=0,"Perfectly Charged",IF(Table811[[#This Row],[%change]]&lt;0,"Under Charged")))</f>
        <v>#DIV/0!</v>
      </c>
    </row>
    <row r="127" spans="1:25" x14ac:dyDescent="0.3">
      <c r="A127">
        <v>2001811192</v>
      </c>
      <c r="B127" t="s">
        <v>36</v>
      </c>
      <c r="C127">
        <v>2</v>
      </c>
      <c r="D127">
        <f>_xlfn.XLOOKUP(Order_Report10[[#This Row],[SKU]],SKU_Master[SKU],SKU_Master[Weight (g)],"not found")</f>
        <v>112</v>
      </c>
      <c r="E127">
        <f>Order_Report10[[#This Row],[order weight ]]*Order_Report10[[#This Row],[Order Qty]]</f>
        <v>224</v>
      </c>
    </row>
    <row r="128" spans="1:25" x14ac:dyDescent="0.3">
      <c r="A128">
        <v>2001811192</v>
      </c>
      <c r="B128" t="s">
        <v>35</v>
      </c>
      <c r="C128">
        <v>2</v>
      </c>
      <c r="D128">
        <f>_xlfn.XLOOKUP(Order_Report10[[#This Row],[SKU]],SKU_Master[SKU],SKU_Master[Weight (g)],"not found")</f>
        <v>112</v>
      </c>
      <c r="E128">
        <f>Order_Report10[[#This Row],[order weight ]]*Order_Report10[[#This Row],[Order Qty]]</f>
        <v>224</v>
      </c>
    </row>
    <row r="129" spans="1:5" x14ac:dyDescent="0.3">
      <c r="A129">
        <v>2001811153</v>
      </c>
      <c r="B129" t="s">
        <v>25</v>
      </c>
      <c r="C129">
        <v>1</v>
      </c>
      <c r="D129">
        <f>_xlfn.XLOOKUP(Order_Report10[[#This Row],[SKU]],SKU_Master[SKU],SKU_Master[Weight (g)],"not found")</f>
        <v>127</v>
      </c>
      <c r="E129">
        <f>Order_Report10[[#This Row],[order weight ]]*Order_Report10[[#This Row],[Order Qty]]</f>
        <v>127</v>
      </c>
    </row>
    <row r="130" spans="1:5" x14ac:dyDescent="0.3">
      <c r="A130">
        <v>2001811153</v>
      </c>
      <c r="B130" t="s">
        <v>30</v>
      </c>
      <c r="C130">
        <v>1</v>
      </c>
      <c r="D130">
        <f>_xlfn.XLOOKUP(Order_Report10[[#This Row],[SKU]],SKU_Master[SKU],SKU_Master[Weight (g)],"not found")</f>
        <v>240</v>
      </c>
      <c r="E130">
        <f>Order_Report10[[#This Row],[order weight ]]*Order_Report10[[#This Row],[Order Qty]]</f>
        <v>240</v>
      </c>
    </row>
    <row r="131" spans="1:5" x14ac:dyDescent="0.3">
      <c r="A131">
        <v>2001811153</v>
      </c>
      <c r="B131" t="s">
        <v>62</v>
      </c>
      <c r="C131">
        <v>1</v>
      </c>
      <c r="D131">
        <f>_xlfn.XLOOKUP(Order_Report10[[#This Row],[SKU]],SKU_Master[SKU],SKU_Master[Weight (g)],"not found")</f>
        <v>240</v>
      </c>
      <c r="E131">
        <f>Order_Report10[[#This Row],[order weight ]]*Order_Report10[[#This Row],[Order Qty]]</f>
        <v>240</v>
      </c>
    </row>
    <row r="132" spans="1:5" x14ac:dyDescent="0.3">
      <c r="A132">
        <v>2001811058</v>
      </c>
      <c r="B132" t="s">
        <v>25</v>
      </c>
      <c r="C132">
        <v>1</v>
      </c>
      <c r="D132">
        <f>_xlfn.XLOOKUP(Order_Report10[[#This Row],[SKU]],SKU_Master[SKU],SKU_Master[Weight (g)],"not found")</f>
        <v>127</v>
      </c>
      <c r="E132">
        <f>Order_Report10[[#This Row],[order weight ]]*Order_Report10[[#This Row],[Order Qty]]</f>
        <v>127</v>
      </c>
    </row>
    <row r="133" spans="1:5" x14ac:dyDescent="0.3">
      <c r="A133">
        <v>2001811058</v>
      </c>
      <c r="B133" t="s">
        <v>34</v>
      </c>
      <c r="C133">
        <v>1</v>
      </c>
      <c r="D133">
        <f>_xlfn.XLOOKUP(Order_Report10[[#This Row],[SKU]],SKU_Master[SKU],SKU_Master[Weight (g)],"not found")</f>
        <v>133</v>
      </c>
      <c r="E133">
        <f>Order_Report10[[#This Row],[order weight ]]*Order_Report10[[#This Row],[Order Qty]]</f>
        <v>133</v>
      </c>
    </row>
    <row r="134" spans="1:5" x14ac:dyDescent="0.3">
      <c r="A134">
        <v>2001811058</v>
      </c>
      <c r="B134" t="s">
        <v>30</v>
      </c>
      <c r="C134">
        <v>1</v>
      </c>
      <c r="D134">
        <f>_xlfn.XLOOKUP(Order_Report10[[#This Row],[SKU]],SKU_Master[SKU],SKU_Master[Weight (g)],"not found")</f>
        <v>240</v>
      </c>
      <c r="E134">
        <f>Order_Report10[[#This Row],[order weight ]]*Order_Report10[[#This Row],[Order Qty]]</f>
        <v>240</v>
      </c>
    </row>
    <row r="135" spans="1:5" x14ac:dyDescent="0.3">
      <c r="A135">
        <v>2001811039</v>
      </c>
      <c r="B135" t="s">
        <v>25</v>
      </c>
      <c r="C135">
        <v>1</v>
      </c>
      <c r="D135">
        <f>_xlfn.XLOOKUP(Order_Report10[[#This Row],[SKU]],SKU_Master[SKU],SKU_Master[Weight (g)],"not found")</f>
        <v>127</v>
      </c>
      <c r="E135">
        <f>Order_Report10[[#This Row],[order weight ]]*Order_Report10[[#This Row],[Order Qty]]</f>
        <v>127</v>
      </c>
    </row>
    <row r="136" spans="1:5" x14ac:dyDescent="0.3">
      <c r="A136">
        <v>2001811039</v>
      </c>
      <c r="B136" t="s">
        <v>24</v>
      </c>
      <c r="C136">
        <v>1</v>
      </c>
      <c r="D136">
        <f>_xlfn.XLOOKUP(Order_Report10[[#This Row],[SKU]],SKU_Master[SKU],SKU_Master[Weight (g)],"not found")</f>
        <v>121</v>
      </c>
      <c r="E136">
        <f>Order_Report10[[#This Row],[order weight ]]*Order_Report10[[#This Row],[Order Qty]]</f>
        <v>121</v>
      </c>
    </row>
    <row r="137" spans="1:5" x14ac:dyDescent="0.3">
      <c r="A137">
        <v>2001811039</v>
      </c>
      <c r="B137" t="s">
        <v>30</v>
      </c>
      <c r="C137">
        <v>1</v>
      </c>
      <c r="D137">
        <f>_xlfn.XLOOKUP(Order_Report10[[#This Row],[SKU]],SKU_Master[SKU],SKU_Master[Weight (g)],"not found")</f>
        <v>240</v>
      </c>
      <c r="E137">
        <f>Order_Report10[[#This Row],[order weight ]]*Order_Report10[[#This Row],[Order Qty]]</f>
        <v>240</v>
      </c>
    </row>
    <row r="138" spans="1:5" x14ac:dyDescent="0.3">
      <c r="A138">
        <v>2001810697</v>
      </c>
      <c r="B138" t="s">
        <v>25</v>
      </c>
      <c r="C138">
        <v>1</v>
      </c>
      <c r="D138">
        <f>_xlfn.XLOOKUP(Order_Report10[[#This Row],[SKU]],SKU_Master[SKU],SKU_Master[Weight (g)],"not found")</f>
        <v>127</v>
      </c>
      <c r="E138">
        <f>Order_Report10[[#This Row],[order weight ]]*Order_Report10[[#This Row],[Order Qty]]</f>
        <v>127</v>
      </c>
    </row>
    <row r="139" spans="1:5" x14ac:dyDescent="0.3">
      <c r="A139">
        <v>2001810697</v>
      </c>
      <c r="B139" t="s">
        <v>30</v>
      </c>
      <c r="C139">
        <v>1</v>
      </c>
      <c r="D139">
        <f>_xlfn.XLOOKUP(Order_Report10[[#This Row],[SKU]],SKU_Master[SKU],SKU_Master[Weight (g)],"not found")</f>
        <v>240</v>
      </c>
      <c r="E139">
        <f>Order_Report10[[#This Row],[order weight ]]*Order_Report10[[#This Row],[Order Qty]]</f>
        <v>240</v>
      </c>
    </row>
    <row r="140" spans="1:5" x14ac:dyDescent="0.3">
      <c r="A140">
        <v>2001810697</v>
      </c>
      <c r="B140" t="s">
        <v>62</v>
      </c>
      <c r="C140">
        <v>1</v>
      </c>
      <c r="D140">
        <f>_xlfn.XLOOKUP(Order_Report10[[#This Row],[SKU]],SKU_Master[SKU],SKU_Master[Weight (g)],"not found")</f>
        <v>240</v>
      </c>
      <c r="E140">
        <f>Order_Report10[[#This Row],[order weight ]]*Order_Report10[[#This Row],[Order Qty]]</f>
        <v>240</v>
      </c>
    </row>
    <row r="141" spans="1:5" x14ac:dyDescent="0.3">
      <c r="A141">
        <v>2001810549</v>
      </c>
      <c r="B141" t="s">
        <v>62</v>
      </c>
      <c r="C141">
        <v>1</v>
      </c>
      <c r="D141">
        <f>_xlfn.XLOOKUP(Order_Report10[[#This Row],[SKU]],SKU_Master[SKU],SKU_Master[Weight (g)],"not found")</f>
        <v>240</v>
      </c>
      <c r="E141">
        <f>Order_Report10[[#This Row],[order weight ]]*Order_Report10[[#This Row],[Order Qty]]</f>
        <v>240</v>
      </c>
    </row>
    <row r="142" spans="1:5" x14ac:dyDescent="0.3">
      <c r="A142">
        <v>2001810549</v>
      </c>
      <c r="B142" t="s">
        <v>28</v>
      </c>
      <c r="C142">
        <v>1</v>
      </c>
      <c r="D142">
        <f>_xlfn.XLOOKUP(Order_Report10[[#This Row],[SKU]],SKU_Master[SKU],SKU_Master[Weight (g)],"not found")</f>
        <v>232</v>
      </c>
      <c r="E142">
        <f>Order_Report10[[#This Row],[order weight ]]*Order_Report10[[#This Row],[Order Qty]]</f>
        <v>232</v>
      </c>
    </row>
    <row r="143" spans="1:5" x14ac:dyDescent="0.3">
      <c r="A143">
        <v>2001810549</v>
      </c>
      <c r="B143" t="s">
        <v>23</v>
      </c>
      <c r="C143">
        <v>1</v>
      </c>
      <c r="D143">
        <f>_xlfn.XLOOKUP(Order_Report10[[#This Row],[SKU]],SKU_Master[SKU],SKU_Master[Weight (g)],"not found")</f>
        <v>240</v>
      </c>
      <c r="E143">
        <f>Order_Report10[[#This Row],[order weight ]]*Order_Report10[[#This Row],[Order Qty]]</f>
        <v>240</v>
      </c>
    </row>
    <row r="144" spans="1:5" x14ac:dyDescent="0.3">
      <c r="A144">
        <v>2001810549</v>
      </c>
      <c r="B144" t="s">
        <v>21</v>
      </c>
      <c r="C144">
        <v>2</v>
      </c>
      <c r="D144">
        <f>_xlfn.XLOOKUP(Order_Report10[[#This Row],[SKU]],SKU_Master[SKU],SKU_Master[Weight (g)],"not found")</f>
        <v>137</v>
      </c>
      <c r="E144">
        <f>Order_Report10[[#This Row],[order weight ]]*Order_Report10[[#This Row],[Order Qty]]</f>
        <v>274</v>
      </c>
    </row>
    <row r="145" spans="1:5" x14ac:dyDescent="0.3">
      <c r="A145">
        <v>2001810281</v>
      </c>
      <c r="B145" t="s">
        <v>25</v>
      </c>
      <c r="C145">
        <v>1</v>
      </c>
      <c r="D145">
        <f>_xlfn.XLOOKUP(Order_Report10[[#This Row],[SKU]],SKU_Master[SKU],SKU_Master[Weight (g)],"not found")</f>
        <v>127</v>
      </c>
      <c r="E145">
        <f>Order_Report10[[#This Row],[order weight ]]*Order_Report10[[#This Row],[Order Qty]]</f>
        <v>127</v>
      </c>
    </row>
    <row r="146" spans="1:5" x14ac:dyDescent="0.3">
      <c r="A146">
        <v>2001810281</v>
      </c>
      <c r="B146" t="s">
        <v>34</v>
      </c>
      <c r="C146">
        <v>1</v>
      </c>
      <c r="D146">
        <f>_xlfn.XLOOKUP(Order_Report10[[#This Row],[SKU]],SKU_Master[SKU],SKU_Master[Weight (g)],"not found")</f>
        <v>133</v>
      </c>
      <c r="E146">
        <f>Order_Report10[[#This Row],[order weight ]]*Order_Report10[[#This Row],[Order Qty]]</f>
        <v>133</v>
      </c>
    </row>
    <row r="147" spans="1:5" x14ac:dyDescent="0.3">
      <c r="A147">
        <v>2001810281</v>
      </c>
      <c r="B147" t="s">
        <v>30</v>
      </c>
      <c r="C147">
        <v>1</v>
      </c>
      <c r="D147">
        <f>_xlfn.XLOOKUP(Order_Report10[[#This Row],[SKU]],SKU_Master[SKU],SKU_Master[Weight (g)],"not found")</f>
        <v>240</v>
      </c>
      <c r="E147">
        <f>Order_Report10[[#This Row],[order weight ]]*Order_Report10[[#This Row],[Order Qty]]</f>
        <v>240</v>
      </c>
    </row>
    <row r="148" spans="1:5" x14ac:dyDescent="0.3">
      <c r="A148">
        <v>2001810125</v>
      </c>
      <c r="B148" t="s">
        <v>25</v>
      </c>
      <c r="C148">
        <v>1</v>
      </c>
      <c r="D148">
        <f>_xlfn.XLOOKUP(Order_Report10[[#This Row],[SKU]],SKU_Master[SKU],SKU_Master[Weight (g)],"not found")</f>
        <v>127</v>
      </c>
      <c r="E148">
        <f>Order_Report10[[#This Row],[order weight ]]*Order_Report10[[#This Row],[Order Qty]]</f>
        <v>127</v>
      </c>
    </row>
    <row r="149" spans="1:5" x14ac:dyDescent="0.3">
      <c r="A149">
        <v>2001810125</v>
      </c>
      <c r="B149" t="s">
        <v>34</v>
      </c>
      <c r="C149">
        <v>1</v>
      </c>
      <c r="D149">
        <f>_xlfn.XLOOKUP(Order_Report10[[#This Row],[SKU]],SKU_Master[SKU],SKU_Master[Weight (g)],"not found")</f>
        <v>133</v>
      </c>
      <c r="E149">
        <f>Order_Report10[[#This Row],[order weight ]]*Order_Report10[[#This Row],[Order Qty]]</f>
        <v>133</v>
      </c>
    </row>
    <row r="150" spans="1:5" x14ac:dyDescent="0.3">
      <c r="A150">
        <v>2001810125</v>
      </c>
      <c r="B150" t="s">
        <v>30</v>
      </c>
      <c r="C150">
        <v>1</v>
      </c>
      <c r="D150">
        <f>_xlfn.XLOOKUP(Order_Report10[[#This Row],[SKU]],SKU_Master[SKU],SKU_Master[Weight (g)],"not found")</f>
        <v>240</v>
      </c>
      <c r="E150">
        <f>Order_Report10[[#This Row],[order weight ]]*Order_Report10[[#This Row],[Order Qty]]</f>
        <v>240</v>
      </c>
    </row>
    <row r="151" spans="1:5" x14ac:dyDescent="0.3">
      <c r="A151">
        <v>2001810104</v>
      </c>
      <c r="B151" t="s">
        <v>30</v>
      </c>
      <c r="C151">
        <v>1</v>
      </c>
      <c r="D151">
        <f>_xlfn.XLOOKUP(Order_Report10[[#This Row],[SKU]],SKU_Master[SKU],SKU_Master[Weight (g)],"not found")</f>
        <v>240</v>
      </c>
      <c r="E151">
        <f>Order_Report10[[#This Row],[order weight ]]*Order_Report10[[#This Row],[Order Qty]]</f>
        <v>240</v>
      </c>
    </row>
    <row r="152" spans="1:5" x14ac:dyDescent="0.3">
      <c r="A152">
        <v>2001810104</v>
      </c>
      <c r="B152" t="s">
        <v>24</v>
      </c>
      <c r="C152">
        <v>1</v>
      </c>
      <c r="D152">
        <f>_xlfn.XLOOKUP(Order_Report10[[#This Row],[SKU]],SKU_Master[SKU],SKU_Master[Weight (g)],"not found")</f>
        <v>121</v>
      </c>
      <c r="E152">
        <f>Order_Report10[[#This Row],[order weight ]]*Order_Report10[[#This Row],[Order Qty]]</f>
        <v>121</v>
      </c>
    </row>
    <row r="153" spans="1:5" x14ac:dyDescent="0.3">
      <c r="A153">
        <v>2001810104</v>
      </c>
      <c r="B153" t="s">
        <v>62</v>
      </c>
      <c r="C153">
        <v>1</v>
      </c>
      <c r="D153">
        <f>_xlfn.XLOOKUP(Order_Report10[[#This Row],[SKU]],SKU_Master[SKU],SKU_Master[Weight (g)],"not found")</f>
        <v>240</v>
      </c>
      <c r="E153">
        <f>Order_Report10[[#This Row],[order weight ]]*Order_Report10[[#This Row],[Order Qty]]</f>
        <v>240</v>
      </c>
    </row>
    <row r="154" spans="1:5" x14ac:dyDescent="0.3">
      <c r="A154">
        <v>2001809934</v>
      </c>
      <c r="B154" t="s">
        <v>30</v>
      </c>
      <c r="C154">
        <v>1</v>
      </c>
      <c r="D154">
        <f>_xlfn.XLOOKUP(Order_Report10[[#This Row],[SKU]],SKU_Master[SKU],SKU_Master[Weight (g)],"not found")</f>
        <v>240</v>
      </c>
      <c r="E154">
        <f>Order_Report10[[#This Row],[order weight ]]*Order_Report10[[#This Row],[Order Qty]]</f>
        <v>240</v>
      </c>
    </row>
    <row r="155" spans="1:5" x14ac:dyDescent="0.3">
      <c r="A155">
        <v>2001809934</v>
      </c>
      <c r="B155" t="s">
        <v>24</v>
      </c>
      <c r="C155">
        <v>1</v>
      </c>
      <c r="D155">
        <f>_xlfn.XLOOKUP(Order_Report10[[#This Row],[SKU]],SKU_Master[SKU],SKU_Master[Weight (g)],"not found")</f>
        <v>121</v>
      </c>
      <c r="E155">
        <f>Order_Report10[[#This Row],[order weight ]]*Order_Report10[[#This Row],[Order Qty]]</f>
        <v>121</v>
      </c>
    </row>
    <row r="156" spans="1:5" x14ac:dyDescent="0.3">
      <c r="A156">
        <v>2001809917</v>
      </c>
      <c r="B156" t="s">
        <v>67</v>
      </c>
      <c r="C156">
        <v>1</v>
      </c>
      <c r="D156">
        <f>_xlfn.XLOOKUP(Order_Report10[[#This Row],[SKU]],SKU_Master[SKU],SKU_Master[Weight (g)],"not found")</f>
        <v>210</v>
      </c>
      <c r="E156">
        <f>Order_Report10[[#This Row],[order weight ]]*Order_Report10[[#This Row],[Order Qty]]</f>
        <v>210</v>
      </c>
    </row>
    <row r="157" spans="1:5" x14ac:dyDescent="0.3">
      <c r="A157">
        <v>2001809917</v>
      </c>
      <c r="B157" t="s">
        <v>66</v>
      </c>
      <c r="C157">
        <v>1</v>
      </c>
      <c r="D157">
        <f>_xlfn.XLOOKUP(Order_Report10[[#This Row],[SKU]],SKU_Master[SKU],SKU_Master[Weight (g)],"not found")</f>
        <v>210</v>
      </c>
      <c r="E157">
        <f>Order_Report10[[#This Row],[order weight ]]*Order_Report10[[#This Row],[Order Qty]]</f>
        <v>210</v>
      </c>
    </row>
    <row r="158" spans="1:5" x14ac:dyDescent="0.3">
      <c r="A158">
        <v>2001809917</v>
      </c>
      <c r="B158" t="s">
        <v>68</v>
      </c>
      <c r="C158">
        <v>1</v>
      </c>
      <c r="D158">
        <f>_xlfn.XLOOKUP(Order_Report10[[#This Row],[SKU]],SKU_Master[SKU],SKU_Master[Weight (g)],"not found")</f>
        <v>210</v>
      </c>
      <c r="E158">
        <f>Order_Report10[[#This Row],[order weight ]]*Order_Report10[[#This Row],[Order Qty]]</f>
        <v>210</v>
      </c>
    </row>
    <row r="159" spans="1:5" x14ac:dyDescent="0.3">
      <c r="A159">
        <v>2001809820</v>
      </c>
      <c r="B159" t="s">
        <v>47</v>
      </c>
      <c r="C159">
        <v>1</v>
      </c>
      <c r="D159">
        <f>_xlfn.XLOOKUP(Order_Report10[[#This Row],[SKU]],SKU_Master[SKU],SKU_Master[Weight (g)],"not found")</f>
        <v>350</v>
      </c>
      <c r="E159">
        <f>Order_Report10[[#This Row],[order weight ]]*Order_Report10[[#This Row],[Order Qty]]</f>
        <v>350</v>
      </c>
    </row>
    <row r="160" spans="1:5" x14ac:dyDescent="0.3">
      <c r="A160">
        <v>2001809820</v>
      </c>
      <c r="B160" t="s">
        <v>16</v>
      </c>
      <c r="C160">
        <v>1</v>
      </c>
      <c r="D160">
        <f>_xlfn.XLOOKUP(Order_Report10[[#This Row],[SKU]],SKU_Master[SKU],SKU_Master[Weight (g)],"not found")</f>
        <v>350</v>
      </c>
      <c r="E160">
        <f>Order_Report10[[#This Row],[order weight ]]*Order_Report10[[#This Row],[Order Qty]]</f>
        <v>350</v>
      </c>
    </row>
    <row r="161" spans="1:5" x14ac:dyDescent="0.3">
      <c r="A161">
        <v>2001809820</v>
      </c>
      <c r="B161" t="s">
        <v>48</v>
      </c>
      <c r="C161">
        <v>1</v>
      </c>
      <c r="D161">
        <f>_xlfn.XLOOKUP(Order_Report10[[#This Row],[SKU]],SKU_Master[SKU],SKU_Master[Weight (g)],"not found")</f>
        <v>350</v>
      </c>
      <c r="E161">
        <f>Order_Report10[[#This Row],[order weight ]]*Order_Report10[[#This Row],[Order Qty]]</f>
        <v>350</v>
      </c>
    </row>
    <row r="162" spans="1:5" x14ac:dyDescent="0.3">
      <c r="A162">
        <v>2001809820</v>
      </c>
      <c r="B162" t="s">
        <v>44</v>
      </c>
      <c r="C162">
        <v>1</v>
      </c>
      <c r="D162">
        <f>_xlfn.XLOOKUP(Order_Report10[[#This Row],[SKU]],SKU_Master[SKU],SKU_Master[Weight (g)],"not found")</f>
        <v>350</v>
      </c>
      <c r="E162">
        <f>Order_Report10[[#This Row],[order weight ]]*Order_Report10[[#This Row],[Order Qty]]</f>
        <v>350</v>
      </c>
    </row>
    <row r="163" spans="1:5" x14ac:dyDescent="0.3">
      <c r="A163">
        <v>2001809820</v>
      </c>
      <c r="B163" t="s">
        <v>36</v>
      </c>
      <c r="C163">
        <v>2</v>
      </c>
      <c r="D163">
        <f>_xlfn.XLOOKUP(Order_Report10[[#This Row],[SKU]],SKU_Master[SKU],SKU_Master[Weight (g)],"not found")</f>
        <v>112</v>
      </c>
      <c r="E163">
        <f>Order_Report10[[#This Row],[order weight ]]*Order_Report10[[#This Row],[Order Qty]]</f>
        <v>224</v>
      </c>
    </row>
    <row r="164" spans="1:5" x14ac:dyDescent="0.3">
      <c r="A164">
        <v>2001809820</v>
      </c>
      <c r="B164" t="s">
        <v>35</v>
      </c>
      <c r="C164">
        <v>2</v>
      </c>
      <c r="D164">
        <f>_xlfn.XLOOKUP(Order_Report10[[#This Row],[SKU]],SKU_Master[SKU],SKU_Master[Weight (g)],"not found")</f>
        <v>112</v>
      </c>
      <c r="E164">
        <f>Order_Report10[[#This Row],[order weight ]]*Order_Report10[[#This Row],[Order Qty]]</f>
        <v>224</v>
      </c>
    </row>
    <row r="165" spans="1:5" x14ac:dyDescent="0.3">
      <c r="A165">
        <v>2001809820</v>
      </c>
      <c r="B165" t="s">
        <v>10</v>
      </c>
      <c r="C165">
        <v>1</v>
      </c>
      <c r="D165">
        <f>_xlfn.XLOOKUP(Order_Report10[[#This Row],[SKU]],SKU_Master[SKU],SKU_Master[Weight (g)],"not found")</f>
        <v>120</v>
      </c>
      <c r="E165">
        <f>Order_Report10[[#This Row],[order weight ]]*Order_Report10[[#This Row],[Order Qty]]</f>
        <v>120</v>
      </c>
    </row>
    <row r="166" spans="1:5" x14ac:dyDescent="0.3">
      <c r="A166">
        <v>2001809820</v>
      </c>
      <c r="B166" t="s">
        <v>32</v>
      </c>
      <c r="C166">
        <v>1</v>
      </c>
      <c r="D166">
        <f>_xlfn.XLOOKUP(Order_Report10[[#This Row],[SKU]],SKU_Master[SKU],SKU_Master[Weight (g)],"not found")</f>
        <v>100</v>
      </c>
      <c r="E166">
        <f>Order_Report10[[#This Row],[order weight ]]*Order_Report10[[#This Row],[Order Qty]]</f>
        <v>100</v>
      </c>
    </row>
    <row r="167" spans="1:5" x14ac:dyDescent="0.3">
      <c r="A167">
        <v>2001809820</v>
      </c>
      <c r="B167" t="s">
        <v>45</v>
      </c>
      <c r="C167">
        <v>1</v>
      </c>
      <c r="D167">
        <f>_xlfn.XLOOKUP(Order_Report10[[#This Row],[SKU]],SKU_Master[SKU],SKU_Master[Weight (g)],"not found")</f>
        <v>140</v>
      </c>
      <c r="E167">
        <f>Order_Report10[[#This Row],[order weight ]]*Order_Report10[[#This Row],[Order Qty]]</f>
        <v>140</v>
      </c>
    </row>
    <row r="168" spans="1:5" x14ac:dyDescent="0.3">
      <c r="A168">
        <v>2001809820</v>
      </c>
      <c r="B168" t="s">
        <v>46</v>
      </c>
      <c r="C168">
        <v>1</v>
      </c>
      <c r="D168">
        <f>_xlfn.XLOOKUP(Order_Report10[[#This Row],[SKU]],SKU_Master[SKU],SKU_Master[Weight (g)],"not found")</f>
        <v>140</v>
      </c>
      <c r="E168">
        <f>Order_Report10[[#This Row],[order weight ]]*Order_Report10[[#This Row],[Order Qty]]</f>
        <v>140</v>
      </c>
    </row>
    <row r="169" spans="1:5" x14ac:dyDescent="0.3">
      <c r="A169">
        <v>2001809820</v>
      </c>
      <c r="B169" t="s">
        <v>25</v>
      </c>
      <c r="C169">
        <v>1</v>
      </c>
      <c r="D169">
        <f>_xlfn.XLOOKUP(Order_Report10[[#This Row],[SKU]],SKU_Master[SKU],SKU_Master[Weight (g)],"not found")</f>
        <v>127</v>
      </c>
      <c r="E169">
        <f>Order_Report10[[#This Row],[order weight ]]*Order_Report10[[#This Row],[Order Qty]]</f>
        <v>127</v>
      </c>
    </row>
    <row r="170" spans="1:5" x14ac:dyDescent="0.3">
      <c r="A170">
        <v>2001809820</v>
      </c>
      <c r="B170" t="s">
        <v>34</v>
      </c>
      <c r="C170">
        <v>1</v>
      </c>
      <c r="D170">
        <f>_xlfn.XLOOKUP(Order_Report10[[#This Row],[SKU]],SKU_Master[SKU],SKU_Master[Weight (g)],"not found")</f>
        <v>133</v>
      </c>
      <c r="E170">
        <f>Order_Report10[[#This Row],[order weight ]]*Order_Report10[[#This Row],[Order Qty]]</f>
        <v>133</v>
      </c>
    </row>
    <row r="171" spans="1:5" x14ac:dyDescent="0.3">
      <c r="A171">
        <v>2001809820</v>
      </c>
      <c r="B171" t="s">
        <v>30</v>
      </c>
      <c r="C171">
        <v>1</v>
      </c>
      <c r="D171">
        <f>_xlfn.XLOOKUP(Order_Report10[[#This Row],[SKU]],SKU_Master[SKU],SKU_Master[Weight (g)],"not found")</f>
        <v>240</v>
      </c>
      <c r="E171">
        <f>Order_Report10[[#This Row],[order weight ]]*Order_Report10[[#This Row],[Order Qty]]</f>
        <v>240</v>
      </c>
    </row>
    <row r="172" spans="1:5" x14ac:dyDescent="0.3">
      <c r="A172">
        <v>2001809820</v>
      </c>
      <c r="B172" t="s">
        <v>28</v>
      </c>
      <c r="C172">
        <v>1</v>
      </c>
      <c r="D172">
        <f>_xlfn.XLOOKUP(Order_Report10[[#This Row],[SKU]],SKU_Master[SKU],SKU_Master[Weight (g)],"not found")</f>
        <v>232</v>
      </c>
      <c r="E172">
        <f>Order_Report10[[#This Row],[order weight ]]*Order_Report10[[#This Row],[Order Qty]]</f>
        <v>232</v>
      </c>
    </row>
    <row r="173" spans="1:5" x14ac:dyDescent="0.3">
      <c r="A173">
        <v>2001809794</v>
      </c>
      <c r="B173" t="s">
        <v>48</v>
      </c>
      <c r="C173">
        <v>1</v>
      </c>
      <c r="D173">
        <f>_xlfn.XLOOKUP(Order_Report10[[#This Row],[SKU]],SKU_Master[SKU],SKU_Master[Weight (g)],"not found")</f>
        <v>350</v>
      </c>
      <c r="E173">
        <f>Order_Report10[[#This Row],[order weight ]]*Order_Report10[[#This Row],[Order Qty]]</f>
        <v>350</v>
      </c>
    </row>
    <row r="174" spans="1:5" x14ac:dyDescent="0.3">
      <c r="A174">
        <v>2001809794</v>
      </c>
      <c r="B174" t="s">
        <v>50</v>
      </c>
      <c r="C174">
        <v>1</v>
      </c>
      <c r="D174">
        <f>_xlfn.XLOOKUP(Order_Report10[[#This Row],[SKU]],SKU_Master[SKU],SKU_Master[Weight (g)],"not found")</f>
        <v>165</v>
      </c>
      <c r="E174">
        <f>Order_Report10[[#This Row],[order weight ]]*Order_Report10[[#This Row],[Order Qty]]</f>
        <v>165</v>
      </c>
    </row>
    <row r="175" spans="1:5" x14ac:dyDescent="0.3">
      <c r="A175">
        <v>2001809794</v>
      </c>
      <c r="B175" t="s">
        <v>31</v>
      </c>
      <c r="C175">
        <v>1</v>
      </c>
      <c r="D175">
        <f>_xlfn.XLOOKUP(Order_Report10[[#This Row],[SKU]],SKU_Master[SKU],SKU_Master[Weight (g)],"not found")</f>
        <v>120</v>
      </c>
      <c r="E175">
        <f>Order_Report10[[#This Row],[order weight ]]*Order_Report10[[#This Row],[Order Qty]]</f>
        <v>120</v>
      </c>
    </row>
    <row r="176" spans="1:5" x14ac:dyDescent="0.3">
      <c r="A176">
        <v>2001809794</v>
      </c>
      <c r="B176" t="s">
        <v>10</v>
      </c>
      <c r="C176">
        <v>1</v>
      </c>
      <c r="D176">
        <f>_xlfn.XLOOKUP(Order_Report10[[#This Row],[SKU]],SKU_Master[SKU],SKU_Master[Weight (g)],"not found")</f>
        <v>120</v>
      </c>
      <c r="E176">
        <f>Order_Report10[[#This Row],[order weight ]]*Order_Report10[[#This Row],[Order Qty]]</f>
        <v>120</v>
      </c>
    </row>
    <row r="177" spans="1:5" x14ac:dyDescent="0.3">
      <c r="A177">
        <v>2001809794</v>
      </c>
      <c r="B177" t="s">
        <v>28</v>
      </c>
      <c r="C177">
        <v>1</v>
      </c>
      <c r="D177">
        <f>_xlfn.XLOOKUP(Order_Report10[[#This Row],[SKU]],SKU_Master[SKU],SKU_Master[Weight (g)],"not found")</f>
        <v>232</v>
      </c>
      <c r="E177">
        <f>Order_Report10[[#This Row],[order weight ]]*Order_Report10[[#This Row],[Order Qty]]</f>
        <v>232</v>
      </c>
    </row>
    <row r="178" spans="1:5" x14ac:dyDescent="0.3">
      <c r="A178">
        <v>2001809794</v>
      </c>
      <c r="B178" t="s">
        <v>57</v>
      </c>
      <c r="C178">
        <v>1</v>
      </c>
      <c r="D178">
        <f>_xlfn.XLOOKUP(Order_Report10[[#This Row],[SKU]],SKU_Master[SKU],SKU_Master[Weight (g)],"not found")</f>
        <v>500</v>
      </c>
      <c r="E178">
        <f>Order_Report10[[#This Row],[order weight ]]*Order_Report10[[#This Row],[Order Qty]]</f>
        <v>500</v>
      </c>
    </row>
    <row r="179" spans="1:5" x14ac:dyDescent="0.3">
      <c r="A179">
        <v>2001809794</v>
      </c>
      <c r="B179" t="s">
        <v>41</v>
      </c>
      <c r="C179">
        <v>1</v>
      </c>
      <c r="D179">
        <f>_xlfn.XLOOKUP(Order_Report10[[#This Row],[SKU]],SKU_Master[SKU],SKU_Master[Weight (g)],"not found")</f>
        <v>30</v>
      </c>
      <c r="E179">
        <f>Order_Report10[[#This Row],[order weight ]]*Order_Report10[[#This Row],[Order Qty]]</f>
        <v>30</v>
      </c>
    </row>
    <row r="180" spans="1:5" x14ac:dyDescent="0.3">
      <c r="A180">
        <v>2001809592</v>
      </c>
      <c r="B180" t="s">
        <v>25</v>
      </c>
      <c r="C180">
        <v>1</v>
      </c>
      <c r="D180">
        <f>_xlfn.XLOOKUP(Order_Report10[[#This Row],[SKU]],SKU_Master[SKU],SKU_Master[Weight (g)],"not found")</f>
        <v>127</v>
      </c>
      <c r="E180">
        <f>Order_Report10[[#This Row],[order weight ]]*Order_Report10[[#This Row],[Order Qty]]</f>
        <v>127</v>
      </c>
    </row>
    <row r="181" spans="1:5" x14ac:dyDescent="0.3">
      <c r="A181">
        <v>2001809592</v>
      </c>
      <c r="B181" t="s">
        <v>35</v>
      </c>
      <c r="C181">
        <v>8</v>
      </c>
      <c r="D181">
        <f>_xlfn.XLOOKUP(Order_Report10[[#This Row],[SKU]],SKU_Master[SKU],SKU_Master[Weight (g)],"not found")</f>
        <v>112</v>
      </c>
      <c r="E181">
        <f>Order_Report10[[#This Row],[order weight ]]*Order_Report10[[#This Row],[Order Qty]]</f>
        <v>896</v>
      </c>
    </row>
    <row r="182" spans="1:5" x14ac:dyDescent="0.3">
      <c r="A182">
        <v>2001809592</v>
      </c>
      <c r="B182" t="s">
        <v>24</v>
      </c>
      <c r="C182">
        <v>2</v>
      </c>
      <c r="D182">
        <f>_xlfn.XLOOKUP(Order_Report10[[#This Row],[SKU]],SKU_Master[SKU],SKU_Master[Weight (g)],"not found")</f>
        <v>121</v>
      </c>
      <c r="E182">
        <f>Order_Report10[[#This Row],[order weight ]]*Order_Report10[[#This Row],[Order Qty]]</f>
        <v>242</v>
      </c>
    </row>
    <row r="183" spans="1:5" x14ac:dyDescent="0.3">
      <c r="A183">
        <v>2001809592</v>
      </c>
      <c r="B183" t="s">
        <v>30</v>
      </c>
      <c r="C183">
        <v>1</v>
      </c>
      <c r="D183">
        <f>_xlfn.XLOOKUP(Order_Report10[[#This Row],[SKU]],SKU_Master[SKU],SKU_Master[Weight (g)],"not found")</f>
        <v>240</v>
      </c>
      <c r="E183">
        <f>Order_Report10[[#This Row],[order weight ]]*Order_Report10[[#This Row],[Order Qty]]</f>
        <v>240</v>
      </c>
    </row>
    <row r="184" spans="1:5" x14ac:dyDescent="0.3">
      <c r="A184">
        <v>2001809383</v>
      </c>
      <c r="B184" t="s">
        <v>25</v>
      </c>
      <c r="C184">
        <v>1</v>
      </c>
      <c r="D184">
        <f>_xlfn.XLOOKUP(Order_Report10[[#This Row],[SKU]],SKU_Master[SKU],SKU_Master[Weight (g)],"not found")</f>
        <v>127</v>
      </c>
      <c r="E184">
        <f>Order_Report10[[#This Row],[order weight ]]*Order_Report10[[#This Row],[Order Qty]]</f>
        <v>127</v>
      </c>
    </row>
    <row r="185" spans="1:5" x14ac:dyDescent="0.3">
      <c r="A185">
        <v>2001809383</v>
      </c>
      <c r="B185" t="s">
        <v>30</v>
      </c>
      <c r="C185">
        <v>1</v>
      </c>
      <c r="D185">
        <f>_xlfn.XLOOKUP(Order_Report10[[#This Row],[SKU]],SKU_Master[SKU],SKU_Master[Weight (g)],"not found")</f>
        <v>240</v>
      </c>
      <c r="E185">
        <f>Order_Report10[[#This Row],[order weight ]]*Order_Report10[[#This Row],[Order Qty]]</f>
        <v>240</v>
      </c>
    </row>
    <row r="186" spans="1:5" x14ac:dyDescent="0.3">
      <c r="A186">
        <v>2001809383</v>
      </c>
      <c r="B186" t="s">
        <v>62</v>
      </c>
      <c r="C186">
        <v>1</v>
      </c>
      <c r="D186">
        <f>_xlfn.XLOOKUP(Order_Report10[[#This Row],[SKU]],SKU_Master[SKU],SKU_Master[Weight (g)],"not found")</f>
        <v>240</v>
      </c>
      <c r="E186">
        <f>Order_Report10[[#This Row],[order weight ]]*Order_Report10[[#This Row],[Order Qty]]</f>
        <v>240</v>
      </c>
    </row>
    <row r="187" spans="1:5" x14ac:dyDescent="0.3">
      <c r="A187">
        <v>2001809270</v>
      </c>
      <c r="B187" t="s">
        <v>25</v>
      </c>
      <c r="C187">
        <v>1</v>
      </c>
      <c r="D187">
        <f>_xlfn.XLOOKUP(Order_Report10[[#This Row],[SKU]],SKU_Master[SKU],SKU_Master[Weight (g)],"not found")</f>
        <v>127</v>
      </c>
      <c r="E187">
        <f>Order_Report10[[#This Row],[order weight ]]*Order_Report10[[#This Row],[Order Qty]]</f>
        <v>127</v>
      </c>
    </row>
    <row r="188" spans="1:5" x14ac:dyDescent="0.3">
      <c r="A188">
        <v>2001809270</v>
      </c>
      <c r="B188" t="s">
        <v>34</v>
      </c>
      <c r="C188">
        <v>1</v>
      </c>
      <c r="D188">
        <f>_xlfn.XLOOKUP(Order_Report10[[#This Row],[SKU]],SKU_Master[SKU],SKU_Master[Weight (g)],"not found")</f>
        <v>133</v>
      </c>
      <c r="E188">
        <f>Order_Report10[[#This Row],[order weight ]]*Order_Report10[[#This Row],[Order Qty]]</f>
        <v>133</v>
      </c>
    </row>
    <row r="189" spans="1:5" x14ac:dyDescent="0.3">
      <c r="A189">
        <v>2001809270</v>
      </c>
      <c r="B189" t="s">
        <v>30</v>
      </c>
      <c r="C189">
        <v>1</v>
      </c>
      <c r="D189">
        <f>_xlfn.XLOOKUP(Order_Report10[[#This Row],[SKU]],SKU_Master[SKU],SKU_Master[Weight (g)],"not found")</f>
        <v>240</v>
      </c>
      <c r="E189">
        <f>Order_Report10[[#This Row],[order weight ]]*Order_Report10[[#This Row],[Order Qty]]</f>
        <v>240</v>
      </c>
    </row>
    <row r="190" spans="1:5" x14ac:dyDescent="0.3">
      <c r="A190">
        <v>2001808992</v>
      </c>
      <c r="B190" t="s">
        <v>25</v>
      </c>
      <c r="C190">
        <v>1</v>
      </c>
      <c r="D190">
        <f>_xlfn.XLOOKUP(Order_Report10[[#This Row],[SKU]],SKU_Master[SKU],SKU_Master[Weight (g)],"not found")</f>
        <v>127</v>
      </c>
      <c r="E190">
        <f>Order_Report10[[#This Row],[order weight ]]*Order_Report10[[#This Row],[Order Qty]]</f>
        <v>127</v>
      </c>
    </row>
    <row r="191" spans="1:5" x14ac:dyDescent="0.3">
      <c r="A191">
        <v>2001808992</v>
      </c>
      <c r="B191" t="s">
        <v>34</v>
      </c>
      <c r="C191">
        <v>1</v>
      </c>
      <c r="D191">
        <f>_xlfn.XLOOKUP(Order_Report10[[#This Row],[SKU]],SKU_Master[SKU],SKU_Master[Weight (g)],"not found")</f>
        <v>133</v>
      </c>
      <c r="E191">
        <f>Order_Report10[[#This Row],[order weight ]]*Order_Report10[[#This Row],[Order Qty]]</f>
        <v>133</v>
      </c>
    </row>
    <row r="192" spans="1:5" x14ac:dyDescent="0.3">
      <c r="A192">
        <v>2001808992</v>
      </c>
      <c r="B192" t="s">
        <v>30</v>
      </c>
      <c r="C192">
        <v>1</v>
      </c>
      <c r="D192">
        <f>_xlfn.XLOOKUP(Order_Report10[[#This Row],[SKU]],SKU_Master[SKU],SKU_Master[Weight (g)],"not found")</f>
        <v>240</v>
      </c>
      <c r="E192">
        <f>Order_Report10[[#This Row],[order weight ]]*Order_Report10[[#This Row],[Order Qty]]</f>
        <v>240</v>
      </c>
    </row>
    <row r="193" spans="1:5" x14ac:dyDescent="0.3">
      <c r="A193">
        <v>2001808883</v>
      </c>
      <c r="B193" t="s">
        <v>25</v>
      </c>
      <c r="C193">
        <v>1</v>
      </c>
      <c r="D193">
        <f>_xlfn.XLOOKUP(Order_Report10[[#This Row],[SKU]],SKU_Master[SKU],SKU_Master[Weight (g)],"not found")</f>
        <v>127</v>
      </c>
      <c r="E193">
        <f>Order_Report10[[#This Row],[order weight ]]*Order_Report10[[#This Row],[Order Qty]]</f>
        <v>127</v>
      </c>
    </row>
    <row r="194" spans="1:5" x14ac:dyDescent="0.3">
      <c r="A194">
        <v>2001808883</v>
      </c>
      <c r="B194" t="s">
        <v>34</v>
      </c>
      <c r="C194">
        <v>1</v>
      </c>
      <c r="D194">
        <f>_xlfn.XLOOKUP(Order_Report10[[#This Row],[SKU]],SKU_Master[SKU],SKU_Master[Weight (g)],"not found")</f>
        <v>133</v>
      </c>
      <c r="E194">
        <f>Order_Report10[[#This Row],[order weight ]]*Order_Report10[[#This Row],[Order Qty]]</f>
        <v>133</v>
      </c>
    </row>
    <row r="195" spans="1:5" x14ac:dyDescent="0.3">
      <c r="A195">
        <v>2001808883</v>
      </c>
      <c r="B195" t="s">
        <v>30</v>
      </c>
      <c r="C195">
        <v>1</v>
      </c>
      <c r="D195">
        <f>_xlfn.XLOOKUP(Order_Report10[[#This Row],[SKU]],SKU_Master[SKU],SKU_Master[Weight (g)],"not found")</f>
        <v>240</v>
      </c>
      <c r="E195">
        <f>Order_Report10[[#This Row],[order weight ]]*Order_Report10[[#This Row],[Order Qty]]</f>
        <v>240</v>
      </c>
    </row>
    <row r="196" spans="1:5" x14ac:dyDescent="0.3">
      <c r="A196">
        <v>2001808837</v>
      </c>
      <c r="B196" t="s">
        <v>25</v>
      </c>
      <c r="C196">
        <v>1</v>
      </c>
      <c r="D196">
        <f>_xlfn.XLOOKUP(Order_Report10[[#This Row],[SKU]],SKU_Master[SKU],SKU_Master[Weight (g)],"not found")</f>
        <v>127</v>
      </c>
      <c r="E196">
        <f>Order_Report10[[#This Row],[order weight ]]*Order_Report10[[#This Row],[Order Qty]]</f>
        <v>127</v>
      </c>
    </row>
    <row r="197" spans="1:5" x14ac:dyDescent="0.3">
      <c r="A197">
        <v>2001808837</v>
      </c>
      <c r="B197" t="s">
        <v>34</v>
      </c>
      <c r="C197">
        <v>1</v>
      </c>
      <c r="D197">
        <f>_xlfn.XLOOKUP(Order_Report10[[#This Row],[SKU]],SKU_Master[SKU],SKU_Master[Weight (g)],"not found")</f>
        <v>133</v>
      </c>
      <c r="E197">
        <f>Order_Report10[[#This Row],[order weight ]]*Order_Report10[[#This Row],[Order Qty]]</f>
        <v>133</v>
      </c>
    </row>
    <row r="198" spans="1:5" x14ac:dyDescent="0.3">
      <c r="A198">
        <v>2001808837</v>
      </c>
      <c r="B198" t="s">
        <v>30</v>
      </c>
      <c r="C198">
        <v>1</v>
      </c>
      <c r="D198">
        <f>_xlfn.XLOOKUP(Order_Report10[[#This Row],[SKU]],SKU_Master[SKU],SKU_Master[Weight (g)],"not found")</f>
        <v>240</v>
      </c>
      <c r="E198">
        <f>Order_Report10[[#This Row],[order weight ]]*Order_Report10[[#This Row],[Order Qty]]</f>
        <v>240</v>
      </c>
    </row>
    <row r="199" spans="1:5" x14ac:dyDescent="0.3">
      <c r="A199">
        <v>2001808832</v>
      </c>
      <c r="B199" t="s">
        <v>65</v>
      </c>
      <c r="C199">
        <v>1</v>
      </c>
      <c r="D199">
        <f>_xlfn.XLOOKUP(Order_Report10[[#This Row],[SKU]],SKU_Master[SKU],SKU_Master[Weight (g)],"not found")</f>
        <v>600</v>
      </c>
      <c r="E199">
        <f>Order_Report10[[#This Row],[order weight ]]*Order_Report10[[#This Row],[Order Qty]]</f>
        <v>600</v>
      </c>
    </row>
    <row r="200" spans="1:5" x14ac:dyDescent="0.3">
      <c r="A200">
        <v>2001808801</v>
      </c>
      <c r="B200" t="s">
        <v>12</v>
      </c>
      <c r="C200">
        <v>2</v>
      </c>
      <c r="D200">
        <f>_xlfn.XLOOKUP(Order_Report10[[#This Row],[SKU]],SKU_Master[SKU],SKU_Master[Weight (g)],"not found")</f>
        <v>65</v>
      </c>
      <c r="E200">
        <f>Order_Report10[[#This Row],[order weight ]]*Order_Report10[[#This Row],[Order Qty]]</f>
        <v>130</v>
      </c>
    </row>
    <row r="201" spans="1:5" x14ac:dyDescent="0.3">
      <c r="A201">
        <v>2001808801</v>
      </c>
      <c r="B201" t="s">
        <v>8</v>
      </c>
      <c r="C201">
        <v>2</v>
      </c>
      <c r="D201">
        <f>_xlfn.XLOOKUP(Order_Report10[[#This Row],[SKU]],SKU_Master[SKU],SKU_Master[Weight (g)],"not found")</f>
        <v>113</v>
      </c>
      <c r="E201">
        <f>Order_Report10[[#This Row],[order weight ]]*Order_Report10[[#This Row],[Order Qty]]</f>
        <v>226</v>
      </c>
    </row>
    <row r="202" spans="1:5" x14ac:dyDescent="0.3">
      <c r="A202">
        <v>2001808801</v>
      </c>
      <c r="B202" t="s">
        <v>7</v>
      </c>
      <c r="C202">
        <v>1</v>
      </c>
      <c r="D202">
        <f>_xlfn.XLOOKUP(Order_Report10[[#This Row],[SKU]],SKU_Master[SKU],SKU_Master[Weight (g)],"not found")</f>
        <v>165</v>
      </c>
      <c r="E202">
        <f>Order_Report10[[#This Row],[order weight ]]*Order_Report10[[#This Row],[Order Qty]]</f>
        <v>165</v>
      </c>
    </row>
    <row r="203" spans="1:5" x14ac:dyDescent="0.3">
      <c r="A203">
        <v>2001808801</v>
      </c>
      <c r="B203" t="s">
        <v>5</v>
      </c>
      <c r="C203">
        <v>1</v>
      </c>
      <c r="D203">
        <f>_xlfn.XLOOKUP(Order_Report10[[#This Row],[SKU]],SKU_Master[SKU],SKU_Master[Weight (g)],"not found")</f>
        <v>210</v>
      </c>
      <c r="E203">
        <f>Order_Report10[[#This Row],[order weight ]]*Order_Report10[[#This Row],[Order Qty]]</f>
        <v>210</v>
      </c>
    </row>
    <row r="204" spans="1:5" x14ac:dyDescent="0.3">
      <c r="A204">
        <v>2001808739</v>
      </c>
      <c r="B204" t="s">
        <v>10</v>
      </c>
      <c r="C204">
        <v>1</v>
      </c>
      <c r="D204">
        <f>_xlfn.XLOOKUP(Order_Report10[[#This Row],[SKU]],SKU_Master[SKU],SKU_Master[Weight (g)],"not found")</f>
        <v>120</v>
      </c>
      <c r="E204">
        <f>Order_Report10[[#This Row],[order weight ]]*Order_Report10[[#This Row],[Order Qty]]</f>
        <v>120</v>
      </c>
    </row>
    <row r="205" spans="1:5" x14ac:dyDescent="0.3">
      <c r="A205">
        <v>2001808739</v>
      </c>
      <c r="B205" t="s">
        <v>32</v>
      </c>
      <c r="C205">
        <v>1</v>
      </c>
      <c r="D205">
        <f>_xlfn.XLOOKUP(Order_Report10[[#This Row],[SKU]],SKU_Master[SKU],SKU_Master[Weight (g)],"not found")</f>
        <v>100</v>
      </c>
      <c r="E205">
        <f>Order_Report10[[#This Row],[order weight ]]*Order_Report10[[#This Row],[Order Qty]]</f>
        <v>100</v>
      </c>
    </row>
    <row r="206" spans="1:5" x14ac:dyDescent="0.3">
      <c r="A206">
        <v>2001808679</v>
      </c>
      <c r="B206" t="s">
        <v>25</v>
      </c>
      <c r="C206">
        <v>1</v>
      </c>
      <c r="D206">
        <f>_xlfn.XLOOKUP(Order_Report10[[#This Row],[SKU]],SKU_Master[SKU],SKU_Master[Weight (g)],"not found")</f>
        <v>127</v>
      </c>
      <c r="E206">
        <f>Order_Report10[[#This Row],[order weight ]]*Order_Report10[[#This Row],[Order Qty]]</f>
        <v>127</v>
      </c>
    </row>
    <row r="207" spans="1:5" x14ac:dyDescent="0.3">
      <c r="A207">
        <v>2001808679</v>
      </c>
      <c r="B207" t="s">
        <v>34</v>
      </c>
      <c r="C207">
        <v>1</v>
      </c>
      <c r="D207">
        <f>_xlfn.XLOOKUP(Order_Report10[[#This Row],[SKU]],SKU_Master[SKU],SKU_Master[Weight (g)],"not found")</f>
        <v>133</v>
      </c>
      <c r="E207">
        <f>Order_Report10[[#This Row],[order weight ]]*Order_Report10[[#This Row],[Order Qty]]</f>
        <v>133</v>
      </c>
    </row>
    <row r="208" spans="1:5" x14ac:dyDescent="0.3">
      <c r="A208">
        <v>2001808679</v>
      </c>
      <c r="B208" t="s">
        <v>30</v>
      </c>
      <c r="C208">
        <v>1</v>
      </c>
      <c r="D208">
        <f>_xlfn.XLOOKUP(Order_Report10[[#This Row],[SKU]],SKU_Master[SKU],SKU_Master[Weight (g)],"not found")</f>
        <v>240</v>
      </c>
      <c r="E208">
        <f>Order_Report10[[#This Row],[order weight ]]*Order_Report10[[#This Row],[Order Qty]]</f>
        <v>240</v>
      </c>
    </row>
    <row r="209" spans="1:5" x14ac:dyDescent="0.3">
      <c r="A209">
        <v>2001808675</v>
      </c>
      <c r="B209" t="s">
        <v>20</v>
      </c>
      <c r="C209">
        <v>1</v>
      </c>
      <c r="D209">
        <f>_xlfn.XLOOKUP(Order_Report10[[#This Row],[SKU]],SKU_Master[SKU],SKU_Master[Weight (g)],"not found")</f>
        <v>65</v>
      </c>
      <c r="E209">
        <f>Order_Report10[[#This Row],[order weight ]]*Order_Report10[[#This Row],[Order Qty]]</f>
        <v>65</v>
      </c>
    </row>
    <row r="210" spans="1:5" x14ac:dyDescent="0.3">
      <c r="A210">
        <v>2001808675</v>
      </c>
      <c r="B210" t="s">
        <v>8</v>
      </c>
      <c r="C210">
        <v>1</v>
      </c>
      <c r="D210">
        <f>_xlfn.XLOOKUP(Order_Report10[[#This Row],[SKU]],SKU_Master[SKU],SKU_Master[Weight (g)],"not found")</f>
        <v>113</v>
      </c>
      <c r="E210">
        <f>Order_Report10[[#This Row],[order weight ]]*Order_Report10[[#This Row],[Order Qty]]</f>
        <v>113</v>
      </c>
    </row>
    <row r="211" spans="1:5" x14ac:dyDescent="0.3">
      <c r="A211">
        <v>2001808675</v>
      </c>
      <c r="B211" t="s">
        <v>7</v>
      </c>
      <c r="C211">
        <v>1</v>
      </c>
      <c r="D211">
        <f>_xlfn.XLOOKUP(Order_Report10[[#This Row],[SKU]],SKU_Master[SKU],SKU_Master[Weight (g)],"not found")</f>
        <v>165</v>
      </c>
      <c r="E211">
        <f>Order_Report10[[#This Row],[order weight ]]*Order_Report10[[#This Row],[Order Qty]]</f>
        <v>165</v>
      </c>
    </row>
    <row r="212" spans="1:5" x14ac:dyDescent="0.3">
      <c r="A212">
        <v>2001808675</v>
      </c>
      <c r="B212" t="s">
        <v>13</v>
      </c>
      <c r="C212">
        <v>1</v>
      </c>
      <c r="D212">
        <f>_xlfn.XLOOKUP(Order_Report10[[#This Row],[SKU]],SKU_Master[SKU],SKU_Master[Weight (g)],"not found")</f>
        <v>170</v>
      </c>
      <c r="E212">
        <f>Order_Report10[[#This Row],[order weight ]]*Order_Report10[[#This Row],[Order Qty]]</f>
        <v>170</v>
      </c>
    </row>
    <row r="213" spans="1:5" x14ac:dyDescent="0.3">
      <c r="A213">
        <v>2001808675</v>
      </c>
      <c r="B213" t="s">
        <v>56</v>
      </c>
      <c r="C213">
        <v>1</v>
      </c>
      <c r="D213">
        <f>_xlfn.XLOOKUP(Order_Report10[[#This Row],[SKU]],SKU_Master[SKU],SKU_Master[Weight (g)],"not found")</f>
        <v>500</v>
      </c>
      <c r="E213">
        <f>Order_Report10[[#This Row],[order weight ]]*Order_Report10[[#This Row],[Order Qty]]</f>
        <v>500</v>
      </c>
    </row>
    <row r="214" spans="1:5" x14ac:dyDescent="0.3">
      <c r="A214">
        <v>2001808675</v>
      </c>
      <c r="B214" t="s">
        <v>59</v>
      </c>
      <c r="C214">
        <v>1</v>
      </c>
      <c r="D214">
        <f>_xlfn.XLOOKUP(Order_Report10[[#This Row],[SKU]],SKU_Master[SKU],SKU_Master[Weight (g)],"not found")</f>
        <v>170</v>
      </c>
      <c r="E214">
        <f>Order_Report10[[#This Row],[order weight ]]*Order_Report10[[#This Row],[Order Qty]]</f>
        <v>170</v>
      </c>
    </row>
    <row r="215" spans="1:5" x14ac:dyDescent="0.3">
      <c r="A215">
        <v>2001808585</v>
      </c>
      <c r="B215" t="s">
        <v>25</v>
      </c>
      <c r="C215">
        <v>1</v>
      </c>
      <c r="D215">
        <f>_xlfn.XLOOKUP(Order_Report10[[#This Row],[SKU]],SKU_Master[SKU],SKU_Master[Weight (g)],"not found")</f>
        <v>127</v>
      </c>
      <c r="E215">
        <f>Order_Report10[[#This Row],[order weight ]]*Order_Report10[[#This Row],[Order Qty]]</f>
        <v>127</v>
      </c>
    </row>
    <row r="216" spans="1:5" x14ac:dyDescent="0.3">
      <c r="A216">
        <v>2001808585</v>
      </c>
      <c r="B216" t="s">
        <v>34</v>
      </c>
      <c r="C216">
        <v>1</v>
      </c>
      <c r="D216">
        <f>_xlfn.XLOOKUP(Order_Report10[[#This Row],[SKU]],SKU_Master[SKU],SKU_Master[Weight (g)],"not found")</f>
        <v>133</v>
      </c>
      <c r="E216">
        <f>Order_Report10[[#This Row],[order weight ]]*Order_Report10[[#This Row],[Order Qty]]</f>
        <v>133</v>
      </c>
    </row>
    <row r="217" spans="1:5" x14ac:dyDescent="0.3">
      <c r="A217">
        <v>2001808585</v>
      </c>
      <c r="B217" t="s">
        <v>30</v>
      </c>
      <c r="C217">
        <v>1</v>
      </c>
      <c r="D217">
        <f>_xlfn.XLOOKUP(Order_Report10[[#This Row],[SKU]],SKU_Master[SKU],SKU_Master[Weight (g)],"not found")</f>
        <v>240</v>
      </c>
      <c r="E217">
        <f>Order_Report10[[#This Row],[order weight ]]*Order_Report10[[#This Row],[Order Qty]]</f>
        <v>240</v>
      </c>
    </row>
    <row r="218" spans="1:5" x14ac:dyDescent="0.3">
      <c r="A218">
        <v>2001808542</v>
      </c>
      <c r="B218" t="s">
        <v>62</v>
      </c>
      <c r="C218">
        <v>2</v>
      </c>
      <c r="D218">
        <f>_xlfn.XLOOKUP(Order_Report10[[#This Row],[SKU]],SKU_Master[SKU],SKU_Master[Weight (g)],"not found")</f>
        <v>240</v>
      </c>
      <c r="E218">
        <f>Order_Report10[[#This Row],[order weight ]]*Order_Report10[[#This Row],[Order Qty]]</f>
        <v>480</v>
      </c>
    </row>
    <row r="219" spans="1:5" x14ac:dyDescent="0.3">
      <c r="A219">
        <v>2001808542</v>
      </c>
      <c r="B219" t="s">
        <v>25</v>
      </c>
      <c r="C219">
        <v>2</v>
      </c>
      <c r="D219">
        <f>_xlfn.XLOOKUP(Order_Report10[[#This Row],[SKU]],SKU_Master[SKU],SKU_Master[Weight (g)],"not found")</f>
        <v>127</v>
      </c>
      <c r="E219">
        <f>Order_Report10[[#This Row],[order weight ]]*Order_Report10[[#This Row],[Order Qty]]</f>
        <v>254</v>
      </c>
    </row>
    <row r="220" spans="1:5" x14ac:dyDescent="0.3">
      <c r="A220">
        <v>2001808507</v>
      </c>
      <c r="B220" t="s">
        <v>25</v>
      </c>
      <c r="C220">
        <v>1</v>
      </c>
      <c r="D220">
        <f>_xlfn.XLOOKUP(Order_Report10[[#This Row],[SKU]],SKU_Master[SKU],SKU_Master[Weight (g)],"not found")</f>
        <v>127</v>
      </c>
      <c r="E220">
        <f>Order_Report10[[#This Row],[order weight ]]*Order_Report10[[#This Row],[Order Qty]]</f>
        <v>127</v>
      </c>
    </row>
    <row r="221" spans="1:5" x14ac:dyDescent="0.3">
      <c r="A221">
        <v>2001808507</v>
      </c>
      <c r="B221" t="s">
        <v>30</v>
      </c>
      <c r="C221">
        <v>1</v>
      </c>
      <c r="D221">
        <f>_xlfn.XLOOKUP(Order_Report10[[#This Row],[SKU]],SKU_Master[SKU],SKU_Master[Weight (g)],"not found")</f>
        <v>240</v>
      </c>
      <c r="E221">
        <f>Order_Report10[[#This Row],[order weight ]]*Order_Report10[[#This Row],[Order Qty]]</f>
        <v>240</v>
      </c>
    </row>
    <row r="222" spans="1:5" x14ac:dyDescent="0.3">
      <c r="A222">
        <v>2001808507</v>
      </c>
      <c r="B222" t="s">
        <v>62</v>
      </c>
      <c r="C222">
        <v>1</v>
      </c>
      <c r="D222">
        <f>_xlfn.XLOOKUP(Order_Report10[[#This Row],[SKU]],SKU_Master[SKU],SKU_Master[Weight (g)],"not found")</f>
        <v>240</v>
      </c>
      <c r="E222">
        <f>Order_Report10[[#This Row],[order weight ]]*Order_Report10[[#This Row],[Order Qty]]</f>
        <v>240</v>
      </c>
    </row>
    <row r="223" spans="1:5" x14ac:dyDescent="0.3">
      <c r="A223">
        <v>2001808475</v>
      </c>
      <c r="B223" t="s">
        <v>25</v>
      </c>
      <c r="C223">
        <v>1</v>
      </c>
      <c r="D223">
        <f>_xlfn.XLOOKUP(Order_Report10[[#This Row],[SKU]],SKU_Master[SKU],SKU_Master[Weight (g)],"not found")</f>
        <v>127</v>
      </c>
      <c r="E223">
        <f>Order_Report10[[#This Row],[order weight ]]*Order_Report10[[#This Row],[Order Qty]]</f>
        <v>127</v>
      </c>
    </row>
    <row r="224" spans="1:5" x14ac:dyDescent="0.3">
      <c r="A224">
        <v>2001808475</v>
      </c>
      <c r="B224" t="s">
        <v>34</v>
      </c>
      <c r="C224">
        <v>1</v>
      </c>
      <c r="D224">
        <f>_xlfn.XLOOKUP(Order_Report10[[#This Row],[SKU]],SKU_Master[SKU],SKU_Master[Weight (g)],"not found")</f>
        <v>133</v>
      </c>
      <c r="E224">
        <f>Order_Report10[[#This Row],[order weight ]]*Order_Report10[[#This Row],[Order Qty]]</f>
        <v>133</v>
      </c>
    </row>
    <row r="225" spans="1:5" x14ac:dyDescent="0.3">
      <c r="A225">
        <v>2001808475</v>
      </c>
      <c r="B225" t="s">
        <v>30</v>
      </c>
      <c r="C225">
        <v>1</v>
      </c>
      <c r="D225">
        <f>_xlfn.XLOOKUP(Order_Report10[[#This Row],[SKU]],SKU_Master[SKU],SKU_Master[Weight (g)],"not found")</f>
        <v>240</v>
      </c>
      <c r="E225">
        <f>Order_Report10[[#This Row],[order weight ]]*Order_Report10[[#This Row],[Order Qty]]</f>
        <v>240</v>
      </c>
    </row>
    <row r="226" spans="1:5" x14ac:dyDescent="0.3">
      <c r="A226">
        <v>2001808295</v>
      </c>
      <c r="B226" t="s">
        <v>42</v>
      </c>
      <c r="C226">
        <v>1</v>
      </c>
      <c r="D226">
        <f>_xlfn.XLOOKUP(Order_Report10[[#This Row],[SKU]],SKU_Master[SKU],SKU_Master[Weight (g)],"not found")</f>
        <v>115</v>
      </c>
      <c r="E226">
        <f>Order_Report10[[#This Row],[order weight ]]*Order_Report10[[#This Row],[Order Qty]]</f>
        <v>115</v>
      </c>
    </row>
    <row r="227" spans="1:5" x14ac:dyDescent="0.3">
      <c r="A227">
        <v>2001808295</v>
      </c>
      <c r="B227" t="s">
        <v>63</v>
      </c>
      <c r="C227">
        <v>1</v>
      </c>
      <c r="D227">
        <f>_xlfn.XLOOKUP(Order_Report10[[#This Row],[SKU]],SKU_Master[SKU],SKU_Master[Weight (g)],"not found")</f>
        <v>130</v>
      </c>
      <c r="E227">
        <f>Order_Report10[[#This Row],[order weight ]]*Order_Report10[[#This Row],[Order Qty]]</f>
        <v>130</v>
      </c>
    </row>
    <row r="228" spans="1:5" x14ac:dyDescent="0.3">
      <c r="A228">
        <v>2001808286</v>
      </c>
      <c r="B228" t="s">
        <v>24</v>
      </c>
      <c r="C228">
        <v>1</v>
      </c>
      <c r="D228">
        <f>_xlfn.XLOOKUP(Order_Report10[[#This Row],[SKU]],SKU_Master[SKU],SKU_Master[Weight (g)],"not found")</f>
        <v>121</v>
      </c>
      <c r="E228">
        <f>Order_Report10[[#This Row],[order weight ]]*Order_Report10[[#This Row],[Order Qty]]</f>
        <v>121</v>
      </c>
    </row>
    <row r="229" spans="1:5" x14ac:dyDescent="0.3">
      <c r="A229">
        <v>2001808286</v>
      </c>
      <c r="B229" t="s">
        <v>62</v>
      </c>
      <c r="C229">
        <v>1</v>
      </c>
      <c r="D229">
        <f>_xlfn.XLOOKUP(Order_Report10[[#This Row],[SKU]],SKU_Master[SKU],SKU_Master[Weight (g)],"not found")</f>
        <v>240</v>
      </c>
      <c r="E229">
        <f>Order_Report10[[#This Row],[order weight ]]*Order_Report10[[#This Row],[Order Qty]]</f>
        <v>240</v>
      </c>
    </row>
    <row r="230" spans="1:5" x14ac:dyDescent="0.3">
      <c r="A230">
        <v>2001808286</v>
      </c>
      <c r="B230" t="s">
        <v>30</v>
      </c>
      <c r="C230">
        <v>1</v>
      </c>
      <c r="D230">
        <f>_xlfn.XLOOKUP(Order_Report10[[#This Row],[SKU]],SKU_Master[SKU],SKU_Master[Weight (g)],"not found")</f>
        <v>240</v>
      </c>
      <c r="E230">
        <f>Order_Report10[[#This Row],[order weight ]]*Order_Report10[[#This Row],[Order Qty]]</f>
        <v>240</v>
      </c>
    </row>
    <row r="231" spans="1:5" x14ac:dyDescent="0.3">
      <c r="A231">
        <v>2001808207</v>
      </c>
      <c r="B231" t="s">
        <v>25</v>
      </c>
      <c r="C231">
        <v>1</v>
      </c>
      <c r="D231">
        <f>_xlfn.XLOOKUP(Order_Report10[[#This Row],[SKU]],SKU_Master[SKU],SKU_Master[Weight (g)],"not found")</f>
        <v>127</v>
      </c>
      <c r="E231">
        <f>Order_Report10[[#This Row],[order weight ]]*Order_Report10[[#This Row],[Order Qty]]</f>
        <v>127</v>
      </c>
    </row>
    <row r="232" spans="1:5" x14ac:dyDescent="0.3">
      <c r="A232">
        <v>2001808207</v>
      </c>
      <c r="B232" t="s">
        <v>30</v>
      </c>
      <c r="C232">
        <v>1</v>
      </c>
      <c r="D232">
        <f>_xlfn.XLOOKUP(Order_Report10[[#This Row],[SKU]],SKU_Master[SKU],SKU_Master[Weight (g)],"not found")</f>
        <v>240</v>
      </c>
      <c r="E232">
        <f>Order_Report10[[#This Row],[order weight ]]*Order_Report10[[#This Row],[Order Qty]]</f>
        <v>240</v>
      </c>
    </row>
    <row r="233" spans="1:5" x14ac:dyDescent="0.3">
      <c r="A233">
        <v>2001808207</v>
      </c>
      <c r="B233" t="s">
        <v>62</v>
      </c>
      <c r="C233">
        <v>1</v>
      </c>
      <c r="D233">
        <f>_xlfn.XLOOKUP(Order_Report10[[#This Row],[SKU]],SKU_Master[SKU],SKU_Master[Weight (g)],"not found")</f>
        <v>240</v>
      </c>
      <c r="E233">
        <f>Order_Report10[[#This Row],[order weight ]]*Order_Report10[[#This Row],[Order Qty]]</f>
        <v>240</v>
      </c>
    </row>
    <row r="234" spans="1:5" x14ac:dyDescent="0.3">
      <c r="A234">
        <v>2001808118</v>
      </c>
      <c r="B234" t="s">
        <v>7</v>
      </c>
      <c r="C234">
        <v>1</v>
      </c>
      <c r="D234">
        <f>_xlfn.XLOOKUP(Order_Report10[[#This Row],[SKU]],SKU_Master[SKU],SKU_Master[Weight (g)],"not found")</f>
        <v>165</v>
      </c>
      <c r="E234">
        <f>Order_Report10[[#This Row],[order weight ]]*Order_Report10[[#This Row],[Order Qty]]</f>
        <v>165</v>
      </c>
    </row>
    <row r="235" spans="1:5" x14ac:dyDescent="0.3">
      <c r="A235">
        <v>2001808118</v>
      </c>
      <c r="B235" t="s">
        <v>12</v>
      </c>
      <c r="C235">
        <v>1</v>
      </c>
      <c r="D235">
        <f>_xlfn.XLOOKUP(Order_Report10[[#This Row],[SKU]],SKU_Master[SKU],SKU_Master[Weight (g)],"not found")</f>
        <v>65</v>
      </c>
      <c r="E235">
        <f>Order_Report10[[#This Row],[order weight ]]*Order_Report10[[#This Row],[Order Qty]]</f>
        <v>65</v>
      </c>
    </row>
    <row r="236" spans="1:5" x14ac:dyDescent="0.3">
      <c r="A236">
        <v>2001808118</v>
      </c>
      <c r="B236" t="s">
        <v>29</v>
      </c>
      <c r="C236">
        <v>1</v>
      </c>
      <c r="D236">
        <f>_xlfn.XLOOKUP(Order_Report10[[#This Row],[SKU]],SKU_Master[SKU],SKU_Master[Weight (g)],"not found")</f>
        <v>113</v>
      </c>
      <c r="E236">
        <f>Order_Report10[[#This Row],[order weight ]]*Order_Report10[[#This Row],[Order Qty]]</f>
        <v>113</v>
      </c>
    </row>
    <row r="237" spans="1:5" x14ac:dyDescent="0.3">
      <c r="A237">
        <v>2001808102</v>
      </c>
      <c r="B237" t="s">
        <v>54</v>
      </c>
      <c r="C237">
        <v>2</v>
      </c>
      <c r="D237">
        <f>_xlfn.XLOOKUP(Order_Report10[[#This Row],[SKU]],SKU_Master[SKU],SKU_Master[Weight (g)],"not found")</f>
        <v>112</v>
      </c>
      <c r="E237">
        <f>Order_Report10[[#This Row],[order weight ]]*Order_Report10[[#This Row],[Order Qty]]</f>
        <v>224</v>
      </c>
    </row>
    <row r="238" spans="1:5" x14ac:dyDescent="0.3">
      <c r="A238">
        <v>2001808102</v>
      </c>
      <c r="B238" t="s">
        <v>36</v>
      </c>
      <c r="C238">
        <v>2</v>
      </c>
      <c r="D238">
        <f>_xlfn.XLOOKUP(Order_Report10[[#This Row],[SKU]],SKU_Master[SKU],SKU_Master[Weight (g)],"not found")</f>
        <v>112</v>
      </c>
      <c r="E238">
        <f>Order_Report10[[#This Row],[order weight ]]*Order_Report10[[#This Row],[Order Qty]]</f>
        <v>224</v>
      </c>
    </row>
    <row r="239" spans="1:5" x14ac:dyDescent="0.3">
      <c r="A239">
        <v>2001808102</v>
      </c>
      <c r="B239" t="s">
        <v>35</v>
      </c>
      <c r="C239">
        <v>2</v>
      </c>
      <c r="D239">
        <f>_xlfn.XLOOKUP(Order_Report10[[#This Row],[SKU]],SKU_Master[SKU],SKU_Master[Weight (g)],"not found")</f>
        <v>112</v>
      </c>
      <c r="E239">
        <f>Order_Report10[[#This Row],[order weight ]]*Order_Report10[[#This Row],[Order Qty]]</f>
        <v>224</v>
      </c>
    </row>
    <row r="240" spans="1:5" x14ac:dyDescent="0.3">
      <c r="A240">
        <v>2001808102</v>
      </c>
      <c r="B240" t="s">
        <v>42</v>
      </c>
      <c r="C240">
        <v>1</v>
      </c>
      <c r="D240">
        <f>_xlfn.XLOOKUP(Order_Report10[[#This Row],[SKU]],SKU_Master[SKU],SKU_Master[Weight (g)],"not found")</f>
        <v>115</v>
      </c>
      <c r="E240">
        <f>Order_Report10[[#This Row],[order weight ]]*Order_Report10[[#This Row],[Order Qty]]</f>
        <v>115</v>
      </c>
    </row>
    <row r="241" spans="1:5" x14ac:dyDescent="0.3">
      <c r="A241">
        <v>2001808102</v>
      </c>
      <c r="B241" t="s">
        <v>63</v>
      </c>
      <c r="C241">
        <v>1</v>
      </c>
      <c r="D241">
        <f>_xlfn.XLOOKUP(Order_Report10[[#This Row],[SKU]],SKU_Master[SKU],SKU_Master[Weight (g)],"not found")</f>
        <v>130</v>
      </c>
      <c r="E241">
        <f>Order_Report10[[#This Row],[order weight ]]*Order_Report10[[#This Row],[Order Qty]]</f>
        <v>130</v>
      </c>
    </row>
    <row r="242" spans="1:5" x14ac:dyDescent="0.3">
      <c r="A242">
        <v>2001808102</v>
      </c>
      <c r="B242" t="s">
        <v>62</v>
      </c>
      <c r="C242">
        <v>1</v>
      </c>
      <c r="D242">
        <f>_xlfn.XLOOKUP(Order_Report10[[#This Row],[SKU]],SKU_Master[SKU],SKU_Master[Weight (g)],"not found")</f>
        <v>240</v>
      </c>
      <c r="E242">
        <f>Order_Report10[[#This Row],[order weight ]]*Order_Report10[[#This Row],[Order Qty]]</f>
        <v>240</v>
      </c>
    </row>
    <row r="243" spans="1:5" x14ac:dyDescent="0.3">
      <c r="A243">
        <v>2001807981</v>
      </c>
      <c r="B243" t="s">
        <v>25</v>
      </c>
      <c r="C243">
        <v>1</v>
      </c>
      <c r="D243">
        <f>_xlfn.XLOOKUP(Order_Report10[[#This Row],[SKU]],SKU_Master[SKU],SKU_Master[Weight (g)],"not found")</f>
        <v>127</v>
      </c>
      <c r="E243">
        <f>Order_Report10[[#This Row],[order weight ]]*Order_Report10[[#This Row],[Order Qty]]</f>
        <v>127</v>
      </c>
    </row>
    <row r="244" spans="1:5" x14ac:dyDescent="0.3">
      <c r="A244">
        <v>2001807981</v>
      </c>
      <c r="B244" t="s">
        <v>34</v>
      </c>
      <c r="C244">
        <v>1</v>
      </c>
      <c r="D244">
        <f>_xlfn.XLOOKUP(Order_Report10[[#This Row],[SKU]],SKU_Master[SKU],SKU_Master[Weight (g)],"not found")</f>
        <v>133</v>
      </c>
      <c r="E244">
        <f>Order_Report10[[#This Row],[order weight ]]*Order_Report10[[#This Row],[Order Qty]]</f>
        <v>133</v>
      </c>
    </row>
    <row r="245" spans="1:5" x14ac:dyDescent="0.3">
      <c r="A245">
        <v>2001807981</v>
      </c>
      <c r="B245" t="s">
        <v>30</v>
      </c>
      <c r="C245">
        <v>1</v>
      </c>
      <c r="D245">
        <f>_xlfn.XLOOKUP(Order_Report10[[#This Row],[SKU]],SKU_Master[SKU],SKU_Master[Weight (g)],"not found")</f>
        <v>240</v>
      </c>
      <c r="E245">
        <f>Order_Report10[[#This Row],[order weight ]]*Order_Report10[[#This Row],[Order Qty]]</f>
        <v>240</v>
      </c>
    </row>
    <row r="246" spans="1:5" x14ac:dyDescent="0.3">
      <c r="A246">
        <v>2001807976</v>
      </c>
      <c r="B246" t="s">
        <v>62</v>
      </c>
      <c r="C246">
        <v>1</v>
      </c>
      <c r="D246">
        <f>_xlfn.XLOOKUP(Order_Report10[[#This Row],[SKU]],SKU_Master[SKU],SKU_Master[Weight (g)],"not found")</f>
        <v>240</v>
      </c>
      <c r="E246">
        <f>Order_Report10[[#This Row],[order weight ]]*Order_Report10[[#This Row],[Order Qty]]</f>
        <v>240</v>
      </c>
    </row>
    <row r="247" spans="1:5" x14ac:dyDescent="0.3">
      <c r="A247">
        <v>2001807976</v>
      </c>
      <c r="B247" t="s">
        <v>23</v>
      </c>
      <c r="C247">
        <v>1</v>
      </c>
      <c r="D247">
        <f>_xlfn.XLOOKUP(Order_Report10[[#This Row],[SKU]],SKU_Master[SKU],SKU_Master[Weight (g)],"not found")</f>
        <v>240</v>
      </c>
      <c r="E247">
        <f>Order_Report10[[#This Row],[order weight ]]*Order_Report10[[#This Row],[Order Qty]]</f>
        <v>240</v>
      </c>
    </row>
    <row r="248" spans="1:5" x14ac:dyDescent="0.3">
      <c r="A248">
        <v>2001807976</v>
      </c>
      <c r="B248" t="s">
        <v>24</v>
      </c>
      <c r="C248">
        <v>1</v>
      </c>
      <c r="D248">
        <f>_xlfn.XLOOKUP(Order_Report10[[#This Row],[SKU]],SKU_Master[SKU],SKU_Master[Weight (g)],"not found")</f>
        <v>121</v>
      </c>
      <c r="E248">
        <f>Order_Report10[[#This Row],[order weight ]]*Order_Report10[[#This Row],[Order Qty]]</f>
        <v>121</v>
      </c>
    </row>
    <row r="249" spans="1:5" x14ac:dyDescent="0.3">
      <c r="A249">
        <v>2001807976</v>
      </c>
      <c r="B249" t="s">
        <v>26</v>
      </c>
      <c r="C249">
        <v>1</v>
      </c>
      <c r="D249">
        <f>_xlfn.XLOOKUP(Order_Report10[[#This Row],[SKU]],SKU_Master[SKU],SKU_Master[Weight (g)],"not found")</f>
        <v>120</v>
      </c>
      <c r="E249">
        <f>Order_Report10[[#This Row],[order weight ]]*Order_Report10[[#This Row],[Order Qty]]</f>
        <v>120</v>
      </c>
    </row>
    <row r="250" spans="1:5" x14ac:dyDescent="0.3">
      <c r="A250">
        <v>2001807970</v>
      </c>
      <c r="B250" t="s">
        <v>64</v>
      </c>
      <c r="C250">
        <v>1</v>
      </c>
      <c r="D250">
        <f>_xlfn.XLOOKUP(Order_Report10[[#This Row],[SKU]],SKU_Master[SKU],SKU_Master[Weight (g)],"not found")</f>
        <v>600</v>
      </c>
      <c r="E250">
        <f>Order_Report10[[#This Row],[order weight ]]*Order_Report10[[#This Row],[Order Qty]]</f>
        <v>600</v>
      </c>
    </row>
    <row r="251" spans="1:5" x14ac:dyDescent="0.3">
      <c r="A251">
        <v>2001807970</v>
      </c>
      <c r="B251" t="s">
        <v>15</v>
      </c>
      <c r="C251">
        <v>1</v>
      </c>
      <c r="D251">
        <f>_xlfn.XLOOKUP(Order_Report10[[#This Row],[SKU]],SKU_Master[SKU],SKU_Master[Weight (g)],"not found")</f>
        <v>165</v>
      </c>
      <c r="E251">
        <f>Order_Report10[[#This Row],[order weight ]]*Order_Report10[[#This Row],[Order Qty]]</f>
        <v>165</v>
      </c>
    </row>
    <row r="252" spans="1:5" x14ac:dyDescent="0.3">
      <c r="A252">
        <v>2001807960</v>
      </c>
      <c r="B252" t="s">
        <v>23</v>
      </c>
      <c r="C252">
        <v>1</v>
      </c>
      <c r="D252">
        <f>_xlfn.XLOOKUP(Order_Report10[[#This Row],[SKU]],SKU_Master[SKU],SKU_Master[Weight (g)],"not found")</f>
        <v>240</v>
      </c>
      <c r="E252">
        <f>Order_Report10[[#This Row],[order weight ]]*Order_Report10[[#This Row],[Order Qty]]</f>
        <v>240</v>
      </c>
    </row>
    <row r="253" spans="1:5" x14ac:dyDescent="0.3">
      <c r="A253">
        <v>2001807960</v>
      </c>
      <c r="B253" t="s">
        <v>43</v>
      </c>
      <c r="C253">
        <v>1</v>
      </c>
      <c r="D253">
        <f>_xlfn.XLOOKUP(Order_Report10[[#This Row],[SKU]],SKU_Master[SKU],SKU_Master[Weight (g)],"not found")</f>
        <v>240</v>
      </c>
      <c r="E253">
        <f>Order_Report10[[#This Row],[order weight ]]*Order_Report10[[#This Row],[Order Qty]]</f>
        <v>240</v>
      </c>
    </row>
    <row r="254" spans="1:5" x14ac:dyDescent="0.3">
      <c r="A254">
        <v>2001807960</v>
      </c>
      <c r="B254" t="s">
        <v>30</v>
      </c>
      <c r="C254">
        <v>1</v>
      </c>
      <c r="D254">
        <f>_xlfn.XLOOKUP(Order_Report10[[#This Row],[SKU]],SKU_Master[SKU],SKU_Master[Weight (g)],"not found")</f>
        <v>240</v>
      </c>
      <c r="E254">
        <f>Order_Report10[[#This Row],[order weight ]]*Order_Report10[[#This Row],[Order Qty]]</f>
        <v>240</v>
      </c>
    </row>
    <row r="255" spans="1:5" x14ac:dyDescent="0.3">
      <c r="A255">
        <v>2001807960</v>
      </c>
      <c r="B255" t="s">
        <v>66</v>
      </c>
      <c r="C255">
        <v>1</v>
      </c>
      <c r="D255">
        <f>_xlfn.XLOOKUP(Order_Report10[[#This Row],[SKU]],SKU_Master[SKU],SKU_Master[Weight (g)],"not found")</f>
        <v>210</v>
      </c>
      <c r="E255">
        <f>Order_Report10[[#This Row],[order weight ]]*Order_Report10[[#This Row],[Order Qty]]</f>
        <v>210</v>
      </c>
    </row>
    <row r="256" spans="1:5" x14ac:dyDescent="0.3">
      <c r="A256">
        <v>2001807956</v>
      </c>
      <c r="B256" t="s">
        <v>25</v>
      </c>
      <c r="C256">
        <v>1</v>
      </c>
      <c r="D256">
        <f>_xlfn.XLOOKUP(Order_Report10[[#This Row],[SKU]],SKU_Master[SKU],SKU_Master[Weight (g)],"not found")</f>
        <v>127</v>
      </c>
      <c r="E256">
        <f>Order_Report10[[#This Row],[order weight ]]*Order_Report10[[#This Row],[Order Qty]]</f>
        <v>127</v>
      </c>
    </row>
    <row r="257" spans="1:5" x14ac:dyDescent="0.3">
      <c r="A257">
        <v>2001807956</v>
      </c>
      <c r="B257" t="s">
        <v>34</v>
      </c>
      <c r="C257">
        <v>1</v>
      </c>
      <c r="D257">
        <f>_xlfn.XLOOKUP(Order_Report10[[#This Row],[SKU]],SKU_Master[SKU],SKU_Master[Weight (g)],"not found")</f>
        <v>133</v>
      </c>
      <c r="E257">
        <f>Order_Report10[[#This Row],[order weight ]]*Order_Report10[[#This Row],[Order Qty]]</f>
        <v>133</v>
      </c>
    </row>
    <row r="258" spans="1:5" x14ac:dyDescent="0.3">
      <c r="A258">
        <v>2001807956</v>
      </c>
      <c r="B258" t="s">
        <v>30</v>
      </c>
      <c r="C258">
        <v>1</v>
      </c>
      <c r="D258">
        <f>_xlfn.XLOOKUP(Order_Report10[[#This Row],[SKU]],SKU_Master[SKU],SKU_Master[Weight (g)],"not found")</f>
        <v>240</v>
      </c>
      <c r="E258">
        <f>Order_Report10[[#This Row],[order weight ]]*Order_Report10[[#This Row],[Order Qty]]</f>
        <v>240</v>
      </c>
    </row>
    <row r="259" spans="1:5" x14ac:dyDescent="0.3">
      <c r="A259">
        <v>2001807956</v>
      </c>
      <c r="B259" t="s">
        <v>52</v>
      </c>
      <c r="C259">
        <v>2</v>
      </c>
      <c r="D259">
        <f>_xlfn.XLOOKUP(Order_Report10[[#This Row],[SKU]],SKU_Master[SKU],SKU_Master[Weight (g)],"not found")</f>
        <v>290</v>
      </c>
      <c r="E259">
        <f>Order_Report10[[#This Row],[order weight ]]*Order_Report10[[#This Row],[Order Qty]]</f>
        <v>580</v>
      </c>
    </row>
    <row r="260" spans="1:5" x14ac:dyDescent="0.3">
      <c r="A260">
        <v>2001807931</v>
      </c>
      <c r="B260" t="s">
        <v>25</v>
      </c>
      <c r="C260">
        <v>1</v>
      </c>
      <c r="D260">
        <f>_xlfn.XLOOKUP(Order_Report10[[#This Row],[SKU]],SKU_Master[SKU],SKU_Master[Weight (g)],"not found")</f>
        <v>127</v>
      </c>
      <c r="E260">
        <f>Order_Report10[[#This Row],[order weight ]]*Order_Report10[[#This Row],[Order Qty]]</f>
        <v>127</v>
      </c>
    </row>
    <row r="261" spans="1:5" x14ac:dyDescent="0.3">
      <c r="A261">
        <v>2001807931</v>
      </c>
      <c r="B261" t="s">
        <v>30</v>
      </c>
      <c r="C261">
        <v>1</v>
      </c>
      <c r="D261">
        <f>_xlfn.XLOOKUP(Order_Report10[[#This Row],[SKU]],SKU_Master[SKU],SKU_Master[Weight (g)],"not found")</f>
        <v>240</v>
      </c>
      <c r="E261">
        <f>Order_Report10[[#This Row],[order weight ]]*Order_Report10[[#This Row],[Order Qty]]</f>
        <v>240</v>
      </c>
    </row>
    <row r="262" spans="1:5" x14ac:dyDescent="0.3">
      <c r="A262">
        <v>2001807931</v>
      </c>
      <c r="B262" t="s">
        <v>62</v>
      </c>
      <c r="C262">
        <v>1</v>
      </c>
      <c r="D262">
        <f>_xlfn.XLOOKUP(Order_Report10[[#This Row],[SKU]],SKU_Master[SKU],SKU_Master[Weight (g)],"not found")</f>
        <v>240</v>
      </c>
      <c r="E262">
        <f>Order_Report10[[#This Row],[order weight ]]*Order_Report10[[#This Row],[Order Qty]]</f>
        <v>240</v>
      </c>
    </row>
    <row r="263" spans="1:5" x14ac:dyDescent="0.3">
      <c r="A263">
        <v>2001807930</v>
      </c>
      <c r="B263" t="s">
        <v>62</v>
      </c>
      <c r="C263">
        <v>1</v>
      </c>
      <c r="D263">
        <f>_xlfn.XLOOKUP(Order_Report10[[#This Row],[SKU]],SKU_Master[SKU],SKU_Master[Weight (g)],"not found")</f>
        <v>240</v>
      </c>
      <c r="E263">
        <f>Order_Report10[[#This Row],[order weight ]]*Order_Report10[[#This Row],[Order Qty]]</f>
        <v>240</v>
      </c>
    </row>
    <row r="264" spans="1:5" x14ac:dyDescent="0.3">
      <c r="A264">
        <v>2001807852</v>
      </c>
      <c r="B264" t="s">
        <v>25</v>
      </c>
      <c r="C264">
        <v>1</v>
      </c>
      <c r="D264">
        <f>_xlfn.XLOOKUP(Order_Report10[[#This Row],[SKU]],SKU_Master[SKU],SKU_Master[Weight (g)],"not found")</f>
        <v>127</v>
      </c>
      <c r="E264">
        <f>Order_Report10[[#This Row],[order weight ]]*Order_Report10[[#This Row],[Order Qty]]</f>
        <v>127</v>
      </c>
    </row>
    <row r="265" spans="1:5" x14ac:dyDescent="0.3">
      <c r="A265">
        <v>2001807852</v>
      </c>
      <c r="B265" t="s">
        <v>34</v>
      </c>
      <c r="C265">
        <v>1</v>
      </c>
      <c r="D265">
        <f>_xlfn.XLOOKUP(Order_Report10[[#This Row],[SKU]],SKU_Master[SKU],SKU_Master[Weight (g)],"not found")</f>
        <v>133</v>
      </c>
      <c r="E265">
        <f>Order_Report10[[#This Row],[order weight ]]*Order_Report10[[#This Row],[Order Qty]]</f>
        <v>133</v>
      </c>
    </row>
    <row r="266" spans="1:5" x14ac:dyDescent="0.3">
      <c r="A266">
        <v>2001807852</v>
      </c>
      <c r="B266" t="s">
        <v>30</v>
      </c>
      <c r="C266">
        <v>1</v>
      </c>
      <c r="D266">
        <f>_xlfn.XLOOKUP(Order_Report10[[#This Row],[SKU]],SKU_Master[SKU],SKU_Master[Weight (g)],"not found")</f>
        <v>240</v>
      </c>
      <c r="E266">
        <f>Order_Report10[[#This Row],[order weight ]]*Order_Report10[[#This Row],[Order Qty]]</f>
        <v>240</v>
      </c>
    </row>
    <row r="267" spans="1:5" x14ac:dyDescent="0.3">
      <c r="A267">
        <v>2001807814</v>
      </c>
      <c r="B267" t="s">
        <v>25</v>
      </c>
      <c r="C267">
        <v>1</v>
      </c>
      <c r="D267">
        <f>_xlfn.XLOOKUP(Order_Report10[[#This Row],[SKU]],SKU_Master[SKU],SKU_Master[Weight (g)],"not found")</f>
        <v>127</v>
      </c>
      <c r="E267">
        <f>Order_Report10[[#This Row],[order weight ]]*Order_Report10[[#This Row],[Order Qty]]</f>
        <v>127</v>
      </c>
    </row>
    <row r="268" spans="1:5" x14ac:dyDescent="0.3">
      <c r="A268">
        <v>2001807814</v>
      </c>
      <c r="B268" t="s">
        <v>30</v>
      </c>
      <c r="C268">
        <v>1</v>
      </c>
      <c r="D268">
        <f>_xlfn.XLOOKUP(Order_Report10[[#This Row],[SKU]],SKU_Master[SKU],SKU_Master[Weight (g)],"not found")</f>
        <v>240</v>
      </c>
      <c r="E268">
        <f>Order_Report10[[#This Row],[order weight ]]*Order_Report10[[#This Row],[Order Qty]]</f>
        <v>240</v>
      </c>
    </row>
    <row r="269" spans="1:5" x14ac:dyDescent="0.3">
      <c r="A269">
        <v>2001807814</v>
      </c>
      <c r="B269" t="s">
        <v>62</v>
      </c>
      <c r="C269">
        <v>1</v>
      </c>
      <c r="D269">
        <f>_xlfn.XLOOKUP(Order_Report10[[#This Row],[SKU]],SKU_Master[SKU],SKU_Master[Weight (g)],"not found")</f>
        <v>240</v>
      </c>
      <c r="E269">
        <f>Order_Report10[[#This Row],[order weight ]]*Order_Report10[[#This Row],[Order Qty]]</f>
        <v>240</v>
      </c>
    </row>
    <row r="270" spans="1:5" x14ac:dyDescent="0.3">
      <c r="A270">
        <v>2001807785</v>
      </c>
      <c r="B270" t="s">
        <v>25</v>
      </c>
      <c r="C270">
        <v>1</v>
      </c>
      <c r="D270">
        <f>_xlfn.XLOOKUP(Order_Report10[[#This Row],[SKU]],SKU_Master[SKU],SKU_Master[Weight (g)],"not found")</f>
        <v>127</v>
      </c>
      <c r="E270">
        <f>Order_Report10[[#This Row],[order weight ]]*Order_Report10[[#This Row],[Order Qty]]</f>
        <v>127</v>
      </c>
    </row>
    <row r="271" spans="1:5" x14ac:dyDescent="0.3">
      <c r="A271">
        <v>2001807785</v>
      </c>
      <c r="B271" t="s">
        <v>34</v>
      </c>
      <c r="C271">
        <v>1</v>
      </c>
      <c r="D271">
        <f>_xlfn.XLOOKUP(Order_Report10[[#This Row],[SKU]],SKU_Master[SKU],SKU_Master[Weight (g)],"not found")</f>
        <v>133</v>
      </c>
      <c r="E271">
        <f>Order_Report10[[#This Row],[order weight ]]*Order_Report10[[#This Row],[Order Qty]]</f>
        <v>133</v>
      </c>
    </row>
    <row r="272" spans="1:5" x14ac:dyDescent="0.3">
      <c r="A272">
        <v>2001807785</v>
      </c>
      <c r="B272" t="s">
        <v>30</v>
      </c>
      <c r="C272">
        <v>1</v>
      </c>
      <c r="D272">
        <f>_xlfn.XLOOKUP(Order_Report10[[#This Row],[SKU]],SKU_Master[SKU],SKU_Master[Weight (g)],"not found")</f>
        <v>240</v>
      </c>
      <c r="E272">
        <f>Order_Report10[[#This Row],[order weight ]]*Order_Report10[[#This Row],[Order Qty]]</f>
        <v>240</v>
      </c>
    </row>
    <row r="273" spans="1:5" x14ac:dyDescent="0.3">
      <c r="A273">
        <v>2001807613</v>
      </c>
      <c r="B273" t="s">
        <v>43</v>
      </c>
      <c r="C273">
        <v>1</v>
      </c>
      <c r="D273">
        <f>_xlfn.XLOOKUP(Order_Report10[[#This Row],[SKU]],SKU_Master[SKU],SKU_Master[Weight (g)],"not found")</f>
        <v>240</v>
      </c>
      <c r="E273">
        <f>Order_Report10[[#This Row],[order weight ]]*Order_Report10[[#This Row],[Order Qty]]</f>
        <v>240</v>
      </c>
    </row>
    <row r="274" spans="1:5" x14ac:dyDescent="0.3">
      <c r="A274">
        <v>2001807613</v>
      </c>
      <c r="B274" t="s">
        <v>62</v>
      </c>
      <c r="C274">
        <v>1</v>
      </c>
      <c r="D274">
        <f>_xlfn.XLOOKUP(Order_Report10[[#This Row],[SKU]],SKU_Master[SKU],SKU_Master[Weight (g)],"not found")</f>
        <v>240</v>
      </c>
      <c r="E274">
        <f>Order_Report10[[#This Row],[order weight ]]*Order_Report10[[#This Row],[Order Qty]]</f>
        <v>240</v>
      </c>
    </row>
    <row r="275" spans="1:5" x14ac:dyDescent="0.3">
      <c r="A275">
        <v>2001807613</v>
      </c>
      <c r="B275" t="s">
        <v>47</v>
      </c>
      <c r="C275">
        <v>1</v>
      </c>
      <c r="D275">
        <f>_xlfn.XLOOKUP(Order_Report10[[#This Row],[SKU]],SKU_Master[SKU],SKU_Master[Weight (g)],"not found")</f>
        <v>350</v>
      </c>
      <c r="E275">
        <f>Order_Report10[[#This Row],[order weight ]]*Order_Report10[[#This Row],[Order Qty]]</f>
        <v>350</v>
      </c>
    </row>
    <row r="276" spans="1:5" x14ac:dyDescent="0.3">
      <c r="A276">
        <v>2001807415</v>
      </c>
      <c r="B276" t="s">
        <v>30</v>
      </c>
      <c r="C276">
        <v>2</v>
      </c>
      <c r="D276">
        <f>_xlfn.XLOOKUP(Order_Report10[[#This Row],[SKU]],SKU_Master[SKU],SKU_Master[Weight (g)],"not found")</f>
        <v>240</v>
      </c>
      <c r="E276">
        <f>Order_Report10[[#This Row],[order weight ]]*Order_Report10[[#This Row],[Order Qty]]</f>
        <v>480</v>
      </c>
    </row>
    <row r="277" spans="1:5" x14ac:dyDescent="0.3">
      <c r="A277">
        <v>2001807415</v>
      </c>
      <c r="B277" t="s">
        <v>26</v>
      </c>
      <c r="C277">
        <v>1</v>
      </c>
      <c r="D277">
        <f>_xlfn.XLOOKUP(Order_Report10[[#This Row],[SKU]],SKU_Master[SKU],SKU_Master[Weight (g)],"not found")</f>
        <v>120</v>
      </c>
      <c r="E277">
        <f>Order_Report10[[#This Row],[order weight ]]*Order_Report10[[#This Row],[Order Qty]]</f>
        <v>120</v>
      </c>
    </row>
    <row r="278" spans="1:5" x14ac:dyDescent="0.3">
      <c r="A278">
        <v>2001807415</v>
      </c>
      <c r="B278" t="s">
        <v>35</v>
      </c>
      <c r="C278">
        <v>4</v>
      </c>
      <c r="D278">
        <f>_xlfn.XLOOKUP(Order_Report10[[#This Row],[SKU]],SKU_Master[SKU],SKU_Master[Weight (g)],"not found")</f>
        <v>112</v>
      </c>
      <c r="E278">
        <f>Order_Report10[[#This Row],[order weight ]]*Order_Report10[[#This Row],[Order Qty]]</f>
        <v>448</v>
      </c>
    </row>
    <row r="279" spans="1:5" x14ac:dyDescent="0.3">
      <c r="A279">
        <v>2001807362</v>
      </c>
      <c r="B279" t="s">
        <v>36</v>
      </c>
      <c r="C279">
        <v>6</v>
      </c>
      <c r="D279">
        <f>_xlfn.XLOOKUP(Order_Report10[[#This Row],[SKU]],SKU_Master[SKU],SKU_Master[Weight (g)],"not found")</f>
        <v>112</v>
      </c>
      <c r="E279">
        <f>Order_Report10[[#This Row],[order weight ]]*Order_Report10[[#This Row],[Order Qty]]</f>
        <v>672</v>
      </c>
    </row>
    <row r="280" spans="1:5" x14ac:dyDescent="0.3">
      <c r="A280">
        <v>2001807362</v>
      </c>
      <c r="B280" t="s">
        <v>35</v>
      </c>
      <c r="C280">
        <v>6</v>
      </c>
      <c r="D280">
        <f>_xlfn.XLOOKUP(Order_Report10[[#This Row],[SKU]],SKU_Master[SKU],SKU_Master[Weight (g)],"not found")</f>
        <v>112</v>
      </c>
      <c r="E280">
        <f>Order_Report10[[#This Row],[order weight ]]*Order_Report10[[#This Row],[Order Qty]]</f>
        <v>672</v>
      </c>
    </row>
    <row r="281" spans="1:5" x14ac:dyDescent="0.3">
      <c r="A281">
        <v>2001807362</v>
      </c>
      <c r="B281" t="s">
        <v>54</v>
      </c>
      <c r="C281">
        <v>2</v>
      </c>
      <c r="D281">
        <f>_xlfn.XLOOKUP(Order_Report10[[#This Row],[SKU]],SKU_Master[SKU],SKU_Master[Weight (g)],"not found")</f>
        <v>112</v>
      </c>
      <c r="E281">
        <f>Order_Report10[[#This Row],[order weight ]]*Order_Report10[[#This Row],[Order Qty]]</f>
        <v>224</v>
      </c>
    </row>
    <row r="282" spans="1:5" x14ac:dyDescent="0.3">
      <c r="A282">
        <v>2001807362</v>
      </c>
      <c r="B282" t="s">
        <v>36</v>
      </c>
      <c r="C282">
        <v>2</v>
      </c>
      <c r="D282">
        <f>_xlfn.XLOOKUP(Order_Report10[[#This Row],[SKU]],SKU_Master[SKU],SKU_Master[Weight (g)],"not found")</f>
        <v>112</v>
      </c>
      <c r="E282">
        <f>Order_Report10[[#This Row],[order weight ]]*Order_Report10[[#This Row],[Order Qty]]</f>
        <v>224</v>
      </c>
    </row>
    <row r="283" spans="1:5" x14ac:dyDescent="0.3">
      <c r="A283">
        <v>2001807362</v>
      </c>
      <c r="B283" t="s">
        <v>35</v>
      </c>
      <c r="C283">
        <v>2</v>
      </c>
      <c r="D283">
        <f>_xlfn.XLOOKUP(Order_Report10[[#This Row],[SKU]],SKU_Master[SKU],SKU_Master[Weight (g)],"not found")</f>
        <v>112</v>
      </c>
      <c r="E283">
        <f>Order_Report10[[#This Row],[order weight ]]*Order_Report10[[#This Row],[Order Qty]]</f>
        <v>224</v>
      </c>
    </row>
    <row r="284" spans="1:5" x14ac:dyDescent="0.3">
      <c r="A284">
        <v>2001807329</v>
      </c>
      <c r="B284" t="s">
        <v>25</v>
      </c>
      <c r="C284">
        <v>1</v>
      </c>
      <c r="D284">
        <f>_xlfn.XLOOKUP(Order_Report10[[#This Row],[SKU]],SKU_Master[SKU],SKU_Master[Weight (g)],"not found")</f>
        <v>127</v>
      </c>
      <c r="E284">
        <f>Order_Report10[[#This Row],[order weight ]]*Order_Report10[[#This Row],[Order Qty]]</f>
        <v>127</v>
      </c>
    </row>
    <row r="285" spans="1:5" x14ac:dyDescent="0.3">
      <c r="A285">
        <v>2001807329</v>
      </c>
      <c r="B285" t="s">
        <v>34</v>
      </c>
      <c r="C285">
        <v>1</v>
      </c>
      <c r="D285">
        <f>_xlfn.XLOOKUP(Order_Report10[[#This Row],[SKU]],SKU_Master[SKU],SKU_Master[Weight (g)],"not found")</f>
        <v>133</v>
      </c>
      <c r="E285">
        <f>Order_Report10[[#This Row],[order weight ]]*Order_Report10[[#This Row],[Order Qty]]</f>
        <v>133</v>
      </c>
    </row>
    <row r="286" spans="1:5" x14ac:dyDescent="0.3">
      <c r="A286">
        <v>2001807329</v>
      </c>
      <c r="B286" t="s">
        <v>30</v>
      </c>
      <c r="C286">
        <v>1</v>
      </c>
      <c r="D286">
        <f>_xlfn.XLOOKUP(Order_Report10[[#This Row],[SKU]],SKU_Master[SKU],SKU_Master[Weight (g)],"not found")</f>
        <v>240</v>
      </c>
      <c r="E286">
        <f>Order_Report10[[#This Row],[order weight ]]*Order_Report10[[#This Row],[Order Qty]]</f>
        <v>240</v>
      </c>
    </row>
    <row r="287" spans="1:5" x14ac:dyDescent="0.3">
      <c r="A287">
        <v>2001807328</v>
      </c>
      <c r="B287" t="s">
        <v>33</v>
      </c>
      <c r="C287">
        <v>1</v>
      </c>
      <c r="D287">
        <f>_xlfn.XLOOKUP(Order_Report10[[#This Row],[SKU]],SKU_Master[SKU],SKU_Master[Weight (g)],"not found")</f>
        <v>490</v>
      </c>
      <c r="E287">
        <f>Order_Report10[[#This Row],[order weight ]]*Order_Report10[[#This Row],[Order Qty]]</f>
        <v>490</v>
      </c>
    </row>
    <row r="288" spans="1:5" x14ac:dyDescent="0.3">
      <c r="A288">
        <v>2001807290</v>
      </c>
      <c r="B288" t="s">
        <v>25</v>
      </c>
      <c r="C288">
        <v>1</v>
      </c>
      <c r="D288">
        <f>_xlfn.XLOOKUP(Order_Report10[[#This Row],[SKU]],SKU_Master[SKU],SKU_Master[Weight (g)],"not found")</f>
        <v>127</v>
      </c>
      <c r="E288">
        <f>Order_Report10[[#This Row],[order weight ]]*Order_Report10[[#This Row],[Order Qty]]</f>
        <v>127</v>
      </c>
    </row>
    <row r="289" spans="1:5" x14ac:dyDescent="0.3">
      <c r="A289">
        <v>2001807290</v>
      </c>
      <c r="B289" t="s">
        <v>34</v>
      </c>
      <c r="C289">
        <v>1</v>
      </c>
      <c r="D289">
        <f>_xlfn.XLOOKUP(Order_Report10[[#This Row],[SKU]],SKU_Master[SKU],SKU_Master[Weight (g)],"not found")</f>
        <v>133</v>
      </c>
      <c r="E289">
        <f>Order_Report10[[#This Row],[order weight ]]*Order_Report10[[#This Row],[Order Qty]]</f>
        <v>133</v>
      </c>
    </row>
    <row r="290" spans="1:5" x14ac:dyDescent="0.3">
      <c r="A290">
        <v>2001807290</v>
      </c>
      <c r="B290" t="s">
        <v>30</v>
      </c>
      <c r="C290">
        <v>1</v>
      </c>
      <c r="D290">
        <f>_xlfn.XLOOKUP(Order_Report10[[#This Row],[SKU]],SKU_Master[SKU],SKU_Master[Weight (g)],"not found")</f>
        <v>240</v>
      </c>
      <c r="E290">
        <f>Order_Report10[[#This Row],[order weight ]]*Order_Report10[[#This Row],[Order Qty]]</f>
        <v>240</v>
      </c>
    </row>
    <row r="291" spans="1:5" x14ac:dyDescent="0.3">
      <c r="A291">
        <v>2001807241</v>
      </c>
      <c r="B291" t="s">
        <v>25</v>
      </c>
      <c r="C291">
        <v>1</v>
      </c>
      <c r="D291">
        <f>_xlfn.XLOOKUP(Order_Report10[[#This Row],[SKU]],SKU_Master[SKU],SKU_Master[Weight (g)],"not found")</f>
        <v>127</v>
      </c>
      <c r="E291">
        <f>Order_Report10[[#This Row],[order weight ]]*Order_Report10[[#This Row],[Order Qty]]</f>
        <v>127</v>
      </c>
    </row>
    <row r="292" spans="1:5" x14ac:dyDescent="0.3">
      <c r="A292">
        <v>2001807241</v>
      </c>
      <c r="B292" t="s">
        <v>30</v>
      </c>
      <c r="C292">
        <v>1</v>
      </c>
      <c r="D292">
        <f>_xlfn.XLOOKUP(Order_Report10[[#This Row],[SKU]],SKU_Master[SKU],SKU_Master[Weight (g)],"not found")</f>
        <v>240</v>
      </c>
      <c r="E292">
        <f>Order_Report10[[#This Row],[order weight ]]*Order_Report10[[#This Row],[Order Qty]]</f>
        <v>240</v>
      </c>
    </row>
    <row r="293" spans="1:5" x14ac:dyDescent="0.3">
      <c r="A293">
        <v>2001807241</v>
      </c>
      <c r="B293" t="s">
        <v>62</v>
      </c>
      <c r="C293">
        <v>1</v>
      </c>
      <c r="D293">
        <f>_xlfn.XLOOKUP(Order_Report10[[#This Row],[SKU]],SKU_Master[SKU],SKU_Master[Weight (g)],"not found")</f>
        <v>240</v>
      </c>
      <c r="E293">
        <f>Order_Report10[[#This Row],[order weight ]]*Order_Report10[[#This Row],[Order Qty]]</f>
        <v>240</v>
      </c>
    </row>
    <row r="294" spans="1:5" x14ac:dyDescent="0.3">
      <c r="A294">
        <v>2001807186</v>
      </c>
      <c r="B294" t="s">
        <v>25</v>
      </c>
      <c r="C294">
        <v>1</v>
      </c>
      <c r="D294">
        <f>_xlfn.XLOOKUP(Order_Report10[[#This Row],[SKU]],SKU_Master[SKU],SKU_Master[Weight (g)],"not found")</f>
        <v>127</v>
      </c>
      <c r="E294">
        <f>Order_Report10[[#This Row],[order weight ]]*Order_Report10[[#This Row],[Order Qty]]</f>
        <v>127</v>
      </c>
    </row>
    <row r="295" spans="1:5" x14ac:dyDescent="0.3">
      <c r="A295">
        <v>2001807186</v>
      </c>
      <c r="B295" t="s">
        <v>34</v>
      </c>
      <c r="C295">
        <v>1</v>
      </c>
      <c r="D295">
        <f>_xlfn.XLOOKUP(Order_Report10[[#This Row],[SKU]],SKU_Master[SKU],SKU_Master[Weight (g)],"not found")</f>
        <v>133</v>
      </c>
      <c r="E295">
        <f>Order_Report10[[#This Row],[order weight ]]*Order_Report10[[#This Row],[Order Qty]]</f>
        <v>133</v>
      </c>
    </row>
    <row r="296" spans="1:5" x14ac:dyDescent="0.3">
      <c r="A296">
        <v>2001807186</v>
      </c>
      <c r="B296" t="s">
        <v>30</v>
      </c>
      <c r="C296">
        <v>1</v>
      </c>
      <c r="D296">
        <f>_xlfn.XLOOKUP(Order_Report10[[#This Row],[SKU]],SKU_Master[SKU],SKU_Master[Weight (g)],"not found")</f>
        <v>240</v>
      </c>
      <c r="E296">
        <f>Order_Report10[[#This Row],[order weight ]]*Order_Report10[[#This Row],[Order Qty]]</f>
        <v>240</v>
      </c>
    </row>
    <row r="297" spans="1:5" x14ac:dyDescent="0.3">
      <c r="A297">
        <v>2001807084</v>
      </c>
      <c r="B297" t="s">
        <v>25</v>
      </c>
      <c r="C297">
        <v>1</v>
      </c>
      <c r="D297">
        <f>_xlfn.XLOOKUP(Order_Report10[[#This Row],[SKU]],SKU_Master[SKU],SKU_Master[Weight (g)],"not found")</f>
        <v>127</v>
      </c>
      <c r="E297">
        <f>Order_Report10[[#This Row],[order weight ]]*Order_Report10[[#This Row],[Order Qty]]</f>
        <v>127</v>
      </c>
    </row>
    <row r="298" spans="1:5" x14ac:dyDescent="0.3">
      <c r="A298">
        <v>2001807084</v>
      </c>
      <c r="B298" t="s">
        <v>34</v>
      </c>
      <c r="C298">
        <v>1</v>
      </c>
      <c r="D298">
        <f>_xlfn.XLOOKUP(Order_Report10[[#This Row],[SKU]],SKU_Master[SKU],SKU_Master[Weight (g)],"not found")</f>
        <v>133</v>
      </c>
      <c r="E298">
        <f>Order_Report10[[#This Row],[order weight ]]*Order_Report10[[#This Row],[Order Qty]]</f>
        <v>133</v>
      </c>
    </row>
    <row r="299" spans="1:5" x14ac:dyDescent="0.3">
      <c r="A299">
        <v>2001807084</v>
      </c>
      <c r="B299" t="s">
        <v>30</v>
      </c>
      <c r="C299">
        <v>1</v>
      </c>
      <c r="D299">
        <f>_xlfn.XLOOKUP(Order_Report10[[#This Row],[SKU]],SKU_Master[SKU],SKU_Master[Weight (g)],"not found")</f>
        <v>240</v>
      </c>
      <c r="E299">
        <f>Order_Report10[[#This Row],[order weight ]]*Order_Report10[[#This Row],[Order Qty]]</f>
        <v>240</v>
      </c>
    </row>
    <row r="300" spans="1:5" x14ac:dyDescent="0.3">
      <c r="A300">
        <v>2001807058</v>
      </c>
      <c r="B300" t="s">
        <v>51</v>
      </c>
      <c r="C300">
        <v>1</v>
      </c>
      <c r="D300">
        <f>_xlfn.XLOOKUP(Order_Report10[[#This Row],[SKU]],SKU_Master[SKU],SKU_Master[Weight (g)],"not found")</f>
        <v>290</v>
      </c>
      <c r="E300">
        <f>Order_Report10[[#This Row],[order weight ]]*Order_Report10[[#This Row],[Order Qty]]</f>
        <v>290</v>
      </c>
    </row>
    <row r="301" spans="1:5" x14ac:dyDescent="0.3">
      <c r="A301">
        <v>2001807058</v>
      </c>
      <c r="B301" t="s">
        <v>52</v>
      </c>
      <c r="C301">
        <v>1</v>
      </c>
      <c r="D301">
        <f>_xlfn.XLOOKUP(Order_Report10[[#This Row],[SKU]],SKU_Master[SKU],SKU_Master[Weight (g)],"not found")</f>
        <v>290</v>
      </c>
      <c r="E301">
        <f>Order_Report10[[#This Row],[order weight ]]*Order_Report10[[#This Row],[Order Qty]]</f>
        <v>290</v>
      </c>
    </row>
    <row r="302" spans="1:5" x14ac:dyDescent="0.3">
      <c r="A302">
        <v>2001807058</v>
      </c>
      <c r="B302" t="s">
        <v>53</v>
      </c>
      <c r="C302">
        <v>1</v>
      </c>
      <c r="D302">
        <f>_xlfn.XLOOKUP(Order_Report10[[#This Row],[SKU]],SKU_Master[SKU],SKU_Master[Weight (g)],"not found")</f>
        <v>290</v>
      </c>
      <c r="E302">
        <f>Order_Report10[[#This Row],[order weight ]]*Order_Report10[[#This Row],[Order Qty]]</f>
        <v>290</v>
      </c>
    </row>
    <row r="303" spans="1:5" x14ac:dyDescent="0.3">
      <c r="A303">
        <v>2001807058</v>
      </c>
      <c r="B303" t="s">
        <v>26</v>
      </c>
      <c r="C303">
        <v>1</v>
      </c>
      <c r="D303">
        <f>_xlfn.XLOOKUP(Order_Report10[[#This Row],[SKU]],SKU_Master[SKU],SKU_Master[Weight (g)],"not found")</f>
        <v>120</v>
      </c>
      <c r="E303">
        <f>Order_Report10[[#This Row],[order weight ]]*Order_Report10[[#This Row],[Order Qty]]</f>
        <v>120</v>
      </c>
    </row>
    <row r="304" spans="1:5" x14ac:dyDescent="0.3">
      <c r="A304">
        <v>2001807058</v>
      </c>
      <c r="B304" t="s">
        <v>12</v>
      </c>
      <c r="C304">
        <v>1</v>
      </c>
      <c r="D304">
        <f>_xlfn.XLOOKUP(Order_Report10[[#This Row],[SKU]],SKU_Master[SKU],SKU_Master[Weight (g)],"not found")</f>
        <v>65</v>
      </c>
      <c r="E304">
        <f>Order_Report10[[#This Row],[order weight ]]*Order_Report10[[#This Row],[Order Qty]]</f>
        <v>65</v>
      </c>
    </row>
    <row r="305" spans="1:5" x14ac:dyDescent="0.3">
      <c r="A305">
        <v>2001807058</v>
      </c>
      <c r="B305" t="s">
        <v>29</v>
      </c>
      <c r="C305">
        <v>1</v>
      </c>
      <c r="D305">
        <f>_xlfn.XLOOKUP(Order_Report10[[#This Row],[SKU]],SKU_Master[SKU],SKU_Master[Weight (g)],"not found")</f>
        <v>113</v>
      </c>
      <c r="E305">
        <f>Order_Report10[[#This Row],[order weight ]]*Order_Report10[[#This Row],[Order Qty]]</f>
        <v>113</v>
      </c>
    </row>
    <row r="306" spans="1:5" x14ac:dyDescent="0.3">
      <c r="A306">
        <v>2001807036</v>
      </c>
      <c r="B306" t="s">
        <v>54</v>
      </c>
      <c r="C306">
        <v>4</v>
      </c>
      <c r="D306">
        <f>_xlfn.XLOOKUP(Order_Report10[[#This Row],[SKU]],SKU_Master[SKU],SKU_Master[Weight (g)],"not found")</f>
        <v>112</v>
      </c>
      <c r="E306">
        <f>Order_Report10[[#This Row],[order weight ]]*Order_Report10[[#This Row],[Order Qty]]</f>
        <v>448</v>
      </c>
    </row>
    <row r="307" spans="1:5" x14ac:dyDescent="0.3">
      <c r="A307">
        <v>2001807036</v>
      </c>
      <c r="B307" t="s">
        <v>36</v>
      </c>
      <c r="C307">
        <v>4</v>
      </c>
      <c r="D307">
        <f>_xlfn.XLOOKUP(Order_Report10[[#This Row],[SKU]],SKU_Master[SKU],SKU_Master[Weight (g)],"not found")</f>
        <v>112</v>
      </c>
      <c r="E307">
        <f>Order_Report10[[#This Row],[order weight ]]*Order_Report10[[#This Row],[Order Qty]]</f>
        <v>448</v>
      </c>
    </row>
    <row r="308" spans="1:5" x14ac:dyDescent="0.3">
      <c r="A308">
        <v>2001807036</v>
      </c>
      <c r="B308" t="s">
        <v>35</v>
      </c>
      <c r="C308">
        <v>4</v>
      </c>
      <c r="D308">
        <f>_xlfn.XLOOKUP(Order_Report10[[#This Row],[SKU]],SKU_Master[SKU],SKU_Master[Weight (g)],"not found")</f>
        <v>112</v>
      </c>
      <c r="E308">
        <f>Order_Report10[[#This Row],[order weight ]]*Order_Report10[[#This Row],[Order Qty]]</f>
        <v>448</v>
      </c>
    </row>
    <row r="309" spans="1:5" x14ac:dyDescent="0.3">
      <c r="A309">
        <v>2001807036</v>
      </c>
      <c r="B309" t="s">
        <v>38</v>
      </c>
      <c r="C309">
        <v>1</v>
      </c>
      <c r="D309">
        <f>_xlfn.XLOOKUP(Order_Report10[[#This Row],[SKU]],SKU_Master[SKU],SKU_Master[Weight (g)],"not found")</f>
        <v>115</v>
      </c>
      <c r="E309">
        <f>Order_Report10[[#This Row],[order weight ]]*Order_Report10[[#This Row],[Order Qty]]</f>
        <v>115</v>
      </c>
    </row>
    <row r="310" spans="1:5" x14ac:dyDescent="0.3">
      <c r="A310">
        <v>2001807012</v>
      </c>
      <c r="B310" t="s">
        <v>62</v>
      </c>
      <c r="C310">
        <v>1</v>
      </c>
      <c r="D310">
        <f>_xlfn.XLOOKUP(Order_Report10[[#This Row],[SKU]],SKU_Master[SKU],SKU_Master[Weight (g)],"not found")</f>
        <v>240</v>
      </c>
      <c r="E310">
        <f>Order_Report10[[#This Row],[order weight ]]*Order_Report10[[#This Row],[Order Qty]]</f>
        <v>240</v>
      </c>
    </row>
    <row r="311" spans="1:5" x14ac:dyDescent="0.3">
      <c r="A311">
        <v>2001807004</v>
      </c>
      <c r="B311" t="s">
        <v>25</v>
      </c>
      <c r="C311">
        <v>1</v>
      </c>
      <c r="D311">
        <f>_xlfn.XLOOKUP(Order_Report10[[#This Row],[SKU]],SKU_Master[SKU],SKU_Master[Weight (g)],"not found")</f>
        <v>127</v>
      </c>
      <c r="E311">
        <f>Order_Report10[[#This Row],[order weight ]]*Order_Report10[[#This Row],[Order Qty]]</f>
        <v>127</v>
      </c>
    </row>
    <row r="312" spans="1:5" x14ac:dyDescent="0.3">
      <c r="A312">
        <v>2001807004</v>
      </c>
      <c r="B312" t="s">
        <v>34</v>
      </c>
      <c r="C312">
        <v>1</v>
      </c>
      <c r="D312">
        <f>_xlfn.XLOOKUP(Order_Report10[[#This Row],[SKU]],SKU_Master[SKU],SKU_Master[Weight (g)],"not found")</f>
        <v>133</v>
      </c>
      <c r="E312">
        <f>Order_Report10[[#This Row],[order weight ]]*Order_Report10[[#This Row],[Order Qty]]</f>
        <v>133</v>
      </c>
    </row>
    <row r="313" spans="1:5" x14ac:dyDescent="0.3">
      <c r="A313">
        <v>2001807004</v>
      </c>
      <c r="B313" t="s">
        <v>30</v>
      </c>
      <c r="C313">
        <v>1</v>
      </c>
      <c r="D313">
        <f>_xlfn.XLOOKUP(Order_Report10[[#This Row],[SKU]],SKU_Master[SKU],SKU_Master[Weight (g)],"not found")</f>
        <v>240</v>
      </c>
      <c r="E313">
        <f>Order_Report10[[#This Row],[order weight ]]*Order_Report10[[#This Row],[Order Qty]]</f>
        <v>240</v>
      </c>
    </row>
    <row r="314" spans="1:5" x14ac:dyDescent="0.3">
      <c r="A314">
        <v>2001806968</v>
      </c>
      <c r="B314" t="s">
        <v>25</v>
      </c>
      <c r="C314">
        <v>1</v>
      </c>
      <c r="D314">
        <f>_xlfn.XLOOKUP(Order_Report10[[#This Row],[SKU]],SKU_Master[SKU],SKU_Master[Weight (g)],"not found")</f>
        <v>127</v>
      </c>
      <c r="E314">
        <f>Order_Report10[[#This Row],[order weight ]]*Order_Report10[[#This Row],[Order Qty]]</f>
        <v>127</v>
      </c>
    </row>
    <row r="315" spans="1:5" x14ac:dyDescent="0.3">
      <c r="A315">
        <v>2001806968</v>
      </c>
      <c r="B315" t="s">
        <v>34</v>
      </c>
      <c r="C315">
        <v>1</v>
      </c>
      <c r="D315">
        <f>_xlfn.XLOOKUP(Order_Report10[[#This Row],[SKU]],SKU_Master[SKU],SKU_Master[Weight (g)],"not found")</f>
        <v>133</v>
      </c>
      <c r="E315">
        <f>Order_Report10[[#This Row],[order weight ]]*Order_Report10[[#This Row],[Order Qty]]</f>
        <v>133</v>
      </c>
    </row>
    <row r="316" spans="1:5" x14ac:dyDescent="0.3">
      <c r="A316">
        <v>2001806968</v>
      </c>
      <c r="B316" t="s">
        <v>30</v>
      </c>
      <c r="C316">
        <v>1</v>
      </c>
      <c r="D316">
        <f>_xlfn.XLOOKUP(Order_Report10[[#This Row],[SKU]],SKU_Master[SKU],SKU_Master[Weight (g)],"not found")</f>
        <v>240</v>
      </c>
      <c r="E316">
        <f>Order_Report10[[#This Row],[order weight ]]*Order_Report10[[#This Row],[Order Qty]]</f>
        <v>240</v>
      </c>
    </row>
    <row r="317" spans="1:5" x14ac:dyDescent="0.3">
      <c r="A317">
        <v>2001806885</v>
      </c>
      <c r="B317" t="s">
        <v>67</v>
      </c>
      <c r="C317">
        <v>2</v>
      </c>
      <c r="D317">
        <f>_xlfn.XLOOKUP(Order_Report10[[#This Row],[SKU]],SKU_Master[SKU],SKU_Master[Weight (g)],"not found")</f>
        <v>210</v>
      </c>
      <c r="E317">
        <f>Order_Report10[[#This Row],[order weight ]]*Order_Report10[[#This Row],[Order Qty]]</f>
        <v>420</v>
      </c>
    </row>
    <row r="318" spans="1:5" x14ac:dyDescent="0.3">
      <c r="A318">
        <v>2001806828</v>
      </c>
      <c r="B318" t="s">
        <v>25</v>
      </c>
      <c r="C318">
        <v>1</v>
      </c>
      <c r="D318">
        <f>_xlfn.XLOOKUP(Order_Report10[[#This Row],[SKU]],SKU_Master[SKU],SKU_Master[Weight (g)],"not found")</f>
        <v>127</v>
      </c>
      <c r="E318">
        <f>Order_Report10[[#This Row],[order weight ]]*Order_Report10[[#This Row],[Order Qty]]</f>
        <v>127</v>
      </c>
    </row>
    <row r="319" spans="1:5" x14ac:dyDescent="0.3">
      <c r="A319">
        <v>2001806828</v>
      </c>
      <c r="B319" t="s">
        <v>34</v>
      </c>
      <c r="C319">
        <v>1</v>
      </c>
      <c r="D319">
        <f>_xlfn.XLOOKUP(Order_Report10[[#This Row],[SKU]],SKU_Master[SKU],SKU_Master[Weight (g)],"not found")</f>
        <v>133</v>
      </c>
      <c r="E319">
        <f>Order_Report10[[#This Row],[order weight ]]*Order_Report10[[#This Row],[Order Qty]]</f>
        <v>133</v>
      </c>
    </row>
    <row r="320" spans="1:5" x14ac:dyDescent="0.3">
      <c r="A320">
        <v>2001806828</v>
      </c>
      <c r="B320" t="s">
        <v>30</v>
      </c>
      <c r="C320">
        <v>1</v>
      </c>
      <c r="D320">
        <f>_xlfn.XLOOKUP(Order_Report10[[#This Row],[SKU]],SKU_Master[SKU],SKU_Master[Weight (g)],"not found")</f>
        <v>240</v>
      </c>
      <c r="E320">
        <f>Order_Report10[[#This Row],[order weight ]]*Order_Report10[[#This Row],[Order Qty]]</f>
        <v>240</v>
      </c>
    </row>
    <row r="321" spans="1:5" x14ac:dyDescent="0.3">
      <c r="A321">
        <v>2001806823</v>
      </c>
      <c r="B321" t="s">
        <v>25</v>
      </c>
      <c r="C321">
        <v>1</v>
      </c>
      <c r="D321">
        <f>_xlfn.XLOOKUP(Order_Report10[[#This Row],[SKU]],SKU_Master[SKU],SKU_Master[Weight (g)],"not found")</f>
        <v>127</v>
      </c>
      <c r="E321">
        <f>Order_Report10[[#This Row],[order weight ]]*Order_Report10[[#This Row],[Order Qty]]</f>
        <v>127</v>
      </c>
    </row>
    <row r="322" spans="1:5" x14ac:dyDescent="0.3">
      <c r="A322">
        <v>2001806801</v>
      </c>
      <c r="B322" t="s">
        <v>30</v>
      </c>
      <c r="C322">
        <v>1</v>
      </c>
      <c r="D322">
        <f>_xlfn.XLOOKUP(Order_Report10[[#This Row],[SKU]],SKU_Master[SKU],SKU_Master[Weight (g)],"not found")</f>
        <v>240</v>
      </c>
      <c r="E322">
        <f>Order_Report10[[#This Row],[order weight ]]*Order_Report10[[#This Row],[Order Qty]]</f>
        <v>240</v>
      </c>
    </row>
    <row r="323" spans="1:5" x14ac:dyDescent="0.3">
      <c r="A323">
        <v>2001806801</v>
      </c>
      <c r="B323" t="s">
        <v>24</v>
      </c>
      <c r="C323">
        <v>1</v>
      </c>
      <c r="D323">
        <f>_xlfn.XLOOKUP(Order_Report10[[#This Row],[SKU]],SKU_Master[SKU],SKU_Master[Weight (g)],"not found")</f>
        <v>121</v>
      </c>
      <c r="E323">
        <f>Order_Report10[[#This Row],[order weight ]]*Order_Report10[[#This Row],[Order Qty]]</f>
        <v>121</v>
      </c>
    </row>
    <row r="324" spans="1:5" x14ac:dyDescent="0.3">
      <c r="A324">
        <v>2001806776</v>
      </c>
      <c r="B324" t="s">
        <v>25</v>
      </c>
      <c r="C324">
        <v>1</v>
      </c>
      <c r="D324">
        <f>_xlfn.XLOOKUP(Order_Report10[[#This Row],[SKU]],SKU_Master[SKU],SKU_Master[Weight (g)],"not found")</f>
        <v>127</v>
      </c>
      <c r="E324">
        <f>Order_Report10[[#This Row],[order weight ]]*Order_Report10[[#This Row],[Order Qty]]</f>
        <v>127</v>
      </c>
    </row>
    <row r="325" spans="1:5" x14ac:dyDescent="0.3">
      <c r="A325">
        <v>2001806776</v>
      </c>
      <c r="B325" t="s">
        <v>21</v>
      </c>
      <c r="C325">
        <v>2</v>
      </c>
      <c r="D325">
        <f>_xlfn.XLOOKUP(Order_Report10[[#This Row],[SKU]],SKU_Master[SKU],SKU_Master[Weight (g)],"not found")</f>
        <v>137</v>
      </c>
      <c r="E325">
        <f>Order_Report10[[#This Row],[order weight ]]*Order_Report10[[#This Row],[Order Qty]]</f>
        <v>274</v>
      </c>
    </row>
    <row r="326" spans="1:5" x14ac:dyDescent="0.3">
      <c r="A326">
        <v>2001806776</v>
      </c>
      <c r="B326" t="s">
        <v>66</v>
      </c>
      <c r="C326">
        <v>1</v>
      </c>
      <c r="D326">
        <f>_xlfn.XLOOKUP(Order_Report10[[#This Row],[SKU]],SKU_Master[SKU],SKU_Master[Weight (g)],"not found")</f>
        <v>210</v>
      </c>
      <c r="E326">
        <f>Order_Report10[[#This Row],[order weight ]]*Order_Report10[[#This Row],[Order Qty]]</f>
        <v>210</v>
      </c>
    </row>
    <row r="327" spans="1:5" x14ac:dyDescent="0.3">
      <c r="A327">
        <v>2001806768</v>
      </c>
      <c r="B327" t="s">
        <v>68</v>
      </c>
      <c r="C327">
        <v>4</v>
      </c>
      <c r="D327">
        <f>_xlfn.XLOOKUP(Order_Report10[[#This Row],[SKU]],SKU_Master[SKU],SKU_Master[Weight (g)],"not found")</f>
        <v>210</v>
      </c>
      <c r="E327">
        <f>Order_Report10[[#This Row],[order weight ]]*Order_Report10[[#This Row],[Order Qty]]</f>
        <v>840</v>
      </c>
    </row>
    <row r="328" spans="1:5" x14ac:dyDescent="0.3">
      <c r="A328">
        <v>2001806735</v>
      </c>
      <c r="B328" t="s">
        <v>25</v>
      </c>
      <c r="C328">
        <v>1</v>
      </c>
      <c r="D328">
        <f>_xlfn.XLOOKUP(Order_Report10[[#This Row],[SKU]],SKU_Master[SKU],SKU_Master[Weight (g)],"not found")</f>
        <v>127</v>
      </c>
      <c r="E328">
        <f>Order_Report10[[#This Row],[order weight ]]*Order_Report10[[#This Row],[Order Qty]]</f>
        <v>127</v>
      </c>
    </row>
    <row r="329" spans="1:5" x14ac:dyDescent="0.3">
      <c r="A329">
        <v>2001806735</v>
      </c>
      <c r="B329" t="s">
        <v>34</v>
      </c>
      <c r="C329">
        <v>1</v>
      </c>
      <c r="D329">
        <f>_xlfn.XLOOKUP(Order_Report10[[#This Row],[SKU]],SKU_Master[SKU],SKU_Master[Weight (g)],"not found")</f>
        <v>133</v>
      </c>
      <c r="E329">
        <f>Order_Report10[[#This Row],[order weight ]]*Order_Report10[[#This Row],[Order Qty]]</f>
        <v>133</v>
      </c>
    </row>
    <row r="330" spans="1:5" x14ac:dyDescent="0.3">
      <c r="A330">
        <v>2001806735</v>
      </c>
      <c r="B330" t="s">
        <v>30</v>
      </c>
      <c r="C330">
        <v>1</v>
      </c>
      <c r="D330">
        <f>_xlfn.XLOOKUP(Order_Report10[[#This Row],[SKU]],SKU_Master[SKU],SKU_Master[Weight (g)],"not found")</f>
        <v>240</v>
      </c>
      <c r="E330">
        <f>Order_Report10[[#This Row],[order weight ]]*Order_Report10[[#This Row],[Order Qty]]</f>
        <v>240</v>
      </c>
    </row>
    <row r="331" spans="1:5" x14ac:dyDescent="0.3">
      <c r="A331">
        <v>2001806733</v>
      </c>
      <c r="B331" t="s">
        <v>36</v>
      </c>
      <c r="C331">
        <v>1</v>
      </c>
      <c r="D331">
        <f>_xlfn.XLOOKUP(Order_Report10[[#This Row],[SKU]],SKU_Master[SKU],SKU_Master[Weight (g)],"not found")</f>
        <v>112</v>
      </c>
      <c r="E331">
        <f>Order_Report10[[#This Row],[order weight ]]*Order_Report10[[#This Row],[Order Qty]]</f>
        <v>112</v>
      </c>
    </row>
    <row r="332" spans="1:5" x14ac:dyDescent="0.3">
      <c r="A332">
        <v>2001806733</v>
      </c>
      <c r="B332" t="s">
        <v>15</v>
      </c>
      <c r="C332">
        <v>1</v>
      </c>
      <c r="D332">
        <f>_xlfn.XLOOKUP(Order_Report10[[#This Row],[SKU]],SKU_Master[SKU],SKU_Master[Weight (g)],"not found")</f>
        <v>165</v>
      </c>
      <c r="E332">
        <f>Order_Report10[[#This Row],[order weight ]]*Order_Report10[[#This Row],[Order Qty]]</f>
        <v>165</v>
      </c>
    </row>
    <row r="333" spans="1:5" x14ac:dyDescent="0.3">
      <c r="A333">
        <v>2001806733</v>
      </c>
      <c r="B333" t="s">
        <v>30</v>
      </c>
      <c r="C333">
        <v>1</v>
      </c>
      <c r="D333">
        <f>_xlfn.XLOOKUP(Order_Report10[[#This Row],[SKU]],SKU_Master[SKU],SKU_Master[Weight (g)],"not found")</f>
        <v>240</v>
      </c>
      <c r="E333">
        <f>Order_Report10[[#This Row],[order weight ]]*Order_Report10[[#This Row],[Order Qty]]</f>
        <v>240</v>
      </c>
    </row>
    <row r="334" spans="1:5" x14ac:dyDescent="0.3">
      <c r="A334">
        <v>2001806733</v>
      </c>
      <c r="B334" t="s">
        <v>68</v>
      </c>
      <c r="C334">
        <v>1</v>
      </c>
      <c r="D334">
        <f>_xlfn.XLOOKUP(Order_Report10[[#This Row],[SKU]],SKU_Master[SKU],SKU_Master[Weight (g)],"not found")</f>
        <v>210</v>
      </c>
      <c r="E334">
        <f>Order_Report10[[#This Row],[order weight ]]*Order_Report10[[#This Row],[Order Qty]]</f>
        <v>210</v>
      </c>
    </row>
    <row r="335" spans="1:5" x14ac:dyDescent="0.3">
      <c r="A335">
        <v>2001806733</v>
      </c>
      <c r="B335" t="s">
        <v>62</v>
      </c>
      <c r="C335">
        <v>1</v>
      </c>
      <c r="D335">
        <f>_xlfn.XLOOKUP(Order_Report10[[#This Row],[SKU]],SKU_Master[SKU],SKU_Master[Weight (g)],"not found")</f>
        <v>240</v>
      </c>
      <c r="E335">
        <f>Order_Report10[[#This Row],[order weight ]]*Order_Report10[[#This Row],[Order Qty]]</f>
        <v>240</v>
      </c>
    </row>
    <row r="336" spans="1:5" x14ac:dyDescent="0.3">
      <c r="A336">
        <v>2001806726</v>
      </c>
      <c r="B336" t="s">
        <v>25</v>
      </c>
      <c r="C336">
        <v>1</v>
      </c>
      <c r="D336">
        <f>_xlfn.XLOOKUP(Order_Report10[[#This Row],[SKU]],SKU_Master[SKU],SKU_Master[Weight (g)],"not found")</f>
        <v>127</v>
      </c>
      <c r="E336">
        <f>Order_Report10[[#This Row],[order weight ]]*Order_Report10[[#This Row],[Order Qty]]</f>
        <v>127</v>
      </c>
    </row>
    <row r="337" spans="1:5" x14ac:dyDescent="0.3">
      <c r="A337">
        <v>2001806726</v>
      </c>
      <c r="B337" t="s">
        <v>34</v>
      </c>
      <c r="C337">
        <v>1</v>
      </c>
      <c r="D337">
        <f>_xlfn.XLOOKUP(Order_Report10[[#This Row],[SKU]],SKU_Master[SKU],SKU_Master[Weight (g)],"not found")</f>
        <v>133</v>
      </c>
      <c r="E337">
        <f>Order_Report10[[#This Row],[order weight ]]*Order_Report10[[#This Row],[Order Qty]]</f>
        <v>133</v>
      </c>
    </row>
    <row r="338" spans="1:5" x14ac:dyDescent="0.3">
      <c r="A338">
        <v>2001806726</v>
      </c>
      <c r="B338" t="s">
        <v>30</v>
      </c>
      <c r="C338">
        <v>1</v>
      </c>
      <c r="D338">
        <f>_xlfn.XLOOKUP(Order_Report10[[#This Row],[SKU]],SKU_Master[SKU],SKU_Master[Weight (g)],"not found")</f>
        <v>240</v>
      </c>
      <c r="E338">
        <f>Order_Report10[[#This Row],[order weight ]]*Order_Report10[[#This Row],[Order Qty]]</f>
        <v>240</v>
      </c>
    </row>
    <row r="339" spans="1:5" x14ac:dyDescent="0.3">
      <c r="A339">
        <v>2001806686</v>
      </c>
      <c r="B339" t="s">
        <v>62</v>
      </c>
      <c r="C339">
        <v>1</v>
      </c>
      <c r="D339">
        <f>_xlfn.XLOOKUP(Order_Report10[[#This Row],[SKU]],SKU_Master[SKU],SKU_Master[Weight (g)],"not found")</f>
        <v>240</v>
      </c>
      <c r="E339">
        <f>Order_Report10[[#This Row],[order weight ]]*Order_Report10[[#This Row],[Order Qty]]</f>
        <v>240</v>
      </c>
    </row>
    <row r="340" spans="1:5" x14ac:dyDescent="0.3">
      <c r="A340">
        <v>2001806652</v>
      </c>
      <c r="B340" t="s">
        <v>25</v>
      </c>
      <c r="C340">
        <v>1</v>
      </c>
      <c r="D340">
        <f>_xlfn.XLOOKUP(Order_Report10[[#This Row],[SKU]],SKU_Master[SKU],SKU_Master[Weight (g)],"not found")</f>
        <v>127</v>
      </c>
      <c r="E340">
        <f>Order_Report10[[#This Row],[order weight ]]*Order_Report10[[#This Row],[Order Qty]]</f>
        <v>127</v>
      </c>
    </row>
    <row r="341" spans="1:5" x14ac:dyDescent="0.3">
      <c r="A341">
        <v>2001806652</v>
      </c>
      <c r="B341" t="s">
        <v>34</v>
      </c>
      <c r="C341">
        <v>1</v>
      </c>
      <c r="D341">
        <f>_xlfn.XLOOKUP(Order_Report10[[#This Row],[SKU]],SKU_Master[SKU],SKU_Master[Weight (g)],"not found")</f>
        <v>133</v>
      </c>
      <c r="E341">
        <f>Order_Report10[[#This Row],[order weight ]]*Order_Report10[[#This Row],[Order Qty]]</f>
        <v>133</v>
      </c>
    </row>
    <row r="342" spans="1:5" x14ac:dyDescent="0.3">
      <c r="A342">
        <v>2001806652</v>
      </c>
      <c r="B342" t="s">
        <v>30</v>
      </c>
      <c r="C342">
        <v>1</v>
      </c>
      <c r="D342">
        <f>_xlfn.XLOOKUP(Order_Report10[[#This Row],[SKU]],SKU_Master[SKU],SKU_Master[Weight (g)],"not found")</f>
        <v>240</v>
      </c>
      <c r="E342">
        <f>Order_Report10[[#This Row],[order weight ]]*Order_Report10[[#This Row],[Order Qty]]</f>
        <v>240</v>
      </c>
    </row>
    <row r="343" spans="1:5" x14ac:dyDescent="0.3">
      <c r="A343">
        <v>2001806616</v>
      </c>
      <c r="B343" t="s">
        <v>23</v>
      </c>
      <c r="C343">
        <v>1</v>
      </c>
      <c r="D343">
        <f>_xlfn.XLOOKUP(Order_Report10[[#This Row],[SKU]],SKU_Master[SKU],SKU_Master[Weight (g)],"not found")</f>
        <v>240</v>
      </c>
      <c r="E343">
        <f>Order_Report10[[#This Row],[order weight ]]*Order_Report10[[#This Row],[Order Qty]]</f>
        <v>240</v>
      </c>
    </row>
    <row r="344" spans="1:5" x14ac:dyDescent="0.3">
      <c r="A344">
        <v>2001806616</v>
      </c>
      <c r="B344" t="s">
        <v>24</v>
      </c>
      <c r="C344">
        <v>1</v>
      </c>
      <c r="D344">
        <f>_xlfn.XLOOKUP(Order_Report10[[#This Row],[SKU]],SKU_Master[SKU],SKU_Master[Weight (g)],"not found")</f>
        <v>121</v>
      </c>
      <c r="E344">
        <f>Order_Report10[[#This Row],[order weight ]]*Order_Report10[[#This Row],[Order Qty]]</f>
        <v>121</v>
      </c>
    </row>
    <row r="345" spans="1:5" x14ac:dyDescent="0.3">
      <c r="A345">
        <v>2001806616</v>
      </c>
      <c r="B345" t="s">
        <v>31</v>
      </c>
      <c r="C345">
        <v>1</v>
      </c>
      <c r="D345">
        <f>_xlfn.XLOOKUP(Order_Report10[[#This Row],[SKU]],SKU_Master[SKU],SKU_Master[Weight (g)],"not found")</f>
        <v>120</v>
      </c>
      <c r="E345">
        <f>Order_Report10[[#This Row],[order weight ]]*Order_Report10[[#This Row],[Order Qty]]</f>
        <v>120</v>
      </c>
    </row>
    <row r="346" spans="1:5" x14ac:dyDescent="0.3">
      <c r="A346">
        <v>2001806616</v>
      </c>
      <c r="B346" t="s">
        <v>26</v>
      </c>
      <c r="C346">
        <v>1</v>
      </c>
      <c r="D346">
        <f>_xlfn.XLOOKUP(Order_Report10[[#This Row],[SKU]],SKU_Master[SKU],SKU_Master[Weight (g)],"not found")</f>
        <v>120</v>
      </c>
      <c r="E346">
        <f>Order_Report10[[#This Row],[order weight ]]*Order_Report10[[#This Row],[Order Qty]]</f>
        <v>120</v>
      </c>
    </row>
    <row r="347" spans="1:5" x14ac:dyDescent="0.3">
      <c r="A347">
        <v>2001806616</v>
      </c>
      <c r="B347" t="s">
        <v>35</v>
      </c>
      <c r="C347">
        <v>1</v>
      </c>
      <c r="D347">
        <f>_xlfn.XLOOKUP(Order_Report10[[#This Row],[SKU]],SKU_Master[SKU],SKU_Master[Weight (g)],"not found")</f>
        <v>112</v>
      </c>
      <c r="E347">
        <f>Order_Report10[[#This Row],[order weight ]]*Order_Report10[[#This Row],[Order Qty]]</f>
        <v>112</v>
      </c>
    </row>
    <row r="348" spans="1:5" x14ac:dyDescent="0.3">
      <c r="A348">
        <v>2001806616</v>
      </c>
      <c r="B348" t="s">
        <v>61</v>
      </c>
      <c r="C348">
        <v>1</v>
      </c>
      <c r="D348">
        <f>_xlfn.XLOOKUP(Order_Report10[[#This Row],[SKU]],SKU_Master[SKU],SKU_Master[Weight (g)],"not found")</f>
        <v>250</v>
      </c>
      <c r="E348">
        <f>Order_Report10[[#This Row],[order weight ]]*Order_Report10[[#This Row],[Order Qty]]</f>
        <v>250</v>
      </c>
    </row>
    <row r="349" spans="1:5" x14ac:dyDescent="0.3">
      <c r="A349">
        <v>2001806575</v>
      </c>
      <c r="B349" t="s">
        <v>25</v>
      </c>
      <c r="C349">
        <v>1</v>
      </c>
      <c r="D349">
        <f>_xlfn.XLOOKUP(Order_Report10[[#This Row],[SKU]],SKU_Master[SKU],SKU_Master[Weight (g)],"not found")</f>
        <v>127</v>
      </c>
      <c r="E349">
        <f>Order_Report10[[#This Row],[order weight ]]*Order_Report10[[#This Row],[Order Qty]]</f>
        <v>127</v>
      </c>
    </row>
    <row r="350" spans="1:5" x14ac:dyDescent="0.3">
      <c r="A350">
        <v>2001806575</v>
      </c>
      <c r="B350" t="s">
        <v>34</v>
      </c>
      <c r="C350">
        <v>1</v>
      </c>
      <c r="D350">
        <f>_xlfn.XLOOKUP(Order_Report10[[#This Row],[SKU]],SKU_Master[SKU],SKU_Master[Weight (g)],"not found")</f>
        <v>133</v>
      </c>
      <c r="E350">
        <f>Order_Report10[[#This Row],[order weight ]]*Order_Report10[[#This Row],[Order Qty]]</f>
        <v>133</v>
      </c>
    </row>
    <row r="351" spans="1:5" x14ac:dyDescent="0.3">
      <c r="A351">
        <v>2001806575</v>
      </c>
      <c r="B351" t="s">
        <v>30</v>
      </c>
      <c r="C351">
        <v>1</v>
      </c>
      <c r="D351">
        <f>_xlfn.XLOOKUP(Order_Report10[[#This Row],[SKU]],SKU_Master[SKU],SKU_Master[Weight (g)],"not found")</f>
        <v>240</v>
      </c>
      <c r="E351">
        <f>Order_Report10[[#This Row],[order weight ]]*Order_Report10[[#This Row],[Order Qty]]</f>
        <v>240</v>
      </c>
    </row>
    <row r="352" spans="1:5" x14ac:dyDescent="0.3">
      <c r="A352">
        <v>2001806567</v>
      </c>
      <c r="B352" t="s">
        <v>19</v>
      </c>
      <c r="C352">
        <v>1</v>
      </c>
      <c r="D352">
        <f>_xlfn.XLOOKUP(Order_Report10[[#This Row],[SKU]],SKU_Master[SKU],SKU_Master[Weight (g)],"not found")</f>
        <v>120</v>
      </c>
      <c r="E352">
        <f>Order_Report10[[#This Row],[order weight ]]*Order_Report10[[#This Row],[Order Qty]]</f>
        <v>120</v>
      </c>
    </row>
    <row r="353" spans="1:5" x14ac:dyDescent="0.3">
      <c r="A353">
        <v>2001806567</v>
      </c>
      <c r="B353" t="s">
        <v>10</v>
      </c>
      <c r="C353">
        <v>1</v>
      </c>
      <c r="D353">
        <f>_xlfn.XLOOKUP(Order_Report10[[#This Row],[SKU]],SKU_Master[SKU],SKU_Master[Weight (g)],"not found")</f>
        <v>120</v>
      </c>
      <c r="E353">
        <f>Order_Report10[[#This Row],[order weight ]]*Order_Report10[[#This Row],[Order Qty]]</f>
        <v>120</v>
      </c>
    </row>
    <row r="354" spans="1:5" x14ac:dyDescent="0.3">
      <c r="A354">
        <v>2001806567</v>
      </c>
      <c r="B354" t="s">
        <v>35</v>
      </c>
      <c r="C354">
        <v>1</v>
      </c>
      <c r="D354">
        <f>_xlfn.XLOOKUP(Order_Report10[[#This Row],[SKU]],SKU_Master[SKU],SKU_Master[Weight (g)],"not found")</f>
        <v>112</v>
      </c>
      <c r="E354">
        <f>Order_Report10[[#This Row],[order weight ]]*Order_Report10[[#This Row],[Order Qty]]</f>
        <v>112</v>
      </c>
    </row>
    <row r="355" spans="1:5" x14ac:dyDescent="0.3">
      <c r="A355">
        <v>2001806567</v>
      </c>
      <c r="B355" t="s">
        <v>53</v>
      </c>
      <c r="C355">
        <v>1</v>
      </c>
      <c r="D355">
        <f>_xlfn.XLOOKUP(Order_Report10[[#This Row],[SKU]],SKU_Master[SKU],SKU_Master[Weight (g)],"not found")</f>
        <v>290</v>
      </c>
      <c r="E355">
        <f>Order_Report10[[#This Row],[order weight ]]*Order_Report10[[#This Row],[Order Qty]]</f>
        <v>290</v>
      </c>
    </row>
    <row r="356" spans="1:5" x14ac:dyDescent="0.3">
      <c r="A356">
        <v>2001806567</v>
      </c>
      <c r="B356" t="s">
        <v>27</v>
      </c>
      <c r="C356">
        <v>1</v>
      </c>
      <c r="D356">
        <f>_xlfn.XLOOKUP(Order_Report10[[#This Row],[SKU]],SKU_Master[SKU],SKU_Master[Weight (g)],"not found")</f>
        <v>160</v>
      </c>
      <c r="E356">
        <f>Order_Report10[[#This Row],[order weight ]]*Order_Report10[[#This Row],[Order Qty]]</f>
        <v>160</v>
      </c>
    </row>
    <row r="357" spans="1:5" x14ac:dyDescent="0.3">
      <c r="A357">
        <v>2001806567</v>
      </c>
      <c r="B357" t="s">
        <v>18</v>
      </c>
      <c r="C357">
        <v>1</v>
      </c>
      <c r="D357">
        <f>_xlfn.XLOOKUP(Order_Report10[[#This Row],[SKU]],SKU_Master[SKU],SKU_Master[Weight (g)],"not found")</f>
        <v>150</v>
      </c>
      <c r="E357">
        <f>Order_Report10[[#This Row],[order weight ]]*Order_Report10[[#This Row],[Order Qty]]</f>
        <v>150</v>
      </c>
    </row>
    <row r="358" spans="1:5" x14ac:dyDescent="0.3">
      <c r="A358">
        <v>2001806547</v>
      </c>
      <c r="B358" t="s">
        <v>25</v>
      </c>
      <c r="C358">
        <v>1</v>
      </c>
      <c r="D358">
        <f>_xlfn.XLOOKUP(Order_Report10[[#This Row],[SKU]],SKU_Master[SKU],SKU_Master[Weight (g)],"not found")</f>
        <v>127</v>
      </c>
      <c r="E358">
        <f>Order_Report10[[#This Row],[order weight ]]*Order_Report10[[#This Row],[Order Qty]]</f>
        <v>127</v>
      </c>
    </row>
    <row r="359" spans="1:5" x14ac:dyDescent="0.3">
      <c r="A359">
        <v>2001806533</v>
      </c>
      <c r="B359" t="s">
        <v>25</v>
      </c>
      <c r="C359">
        <v>1</v>
      </c>
      <c r="D359">
        <f>_xlfn.XLOOKUP(Order_Report10[[#This Row],[SKU]],SKU_Master[SKU],SKU_Master[Weight (g)],"not found")</f>
        <v>127</v>
      </c>
      <c r="E359">
        <f>Order_Report10[[#This Row],[order weight ]]*Order_Report10[[#This Row],[Order Qty]]</f>
        <v>127</v>
      </c>
    </row>
    <row r="360" spans="1:5" x14ac:dyDescent="0.3">
      <c r="A360">
        <v>2001806533</v>
      </c>
      <c r="B360" t="s">
        <v>34</v>
      </c>
      <c r="C360">
        <v>1</v>
      </c>
      <c r="D360">
        <f>_xlfn.XLOOKUP(Order_Report10[[#This Row],[SKU]],SKU_Master[SKU],SKU_Master[Weight (g)],"not found")</f>
        <v>133</v>
      </c>
      <c r="E360">
        <f>Order_Report10[[#This Row],[order weight ]]*Order_Report10[[#This Row],[Order Qty]]</f>
        <v>133</v>
      </c>
    </row>
    <row r="361" spans="1:5" x14ac:dyDescent="0.3">
      <c r="A361">
        <v>2001806533</v>
      </c>
      <c r="B361" t="s">
        <v>30</v>
      </c>
      <c r="C361">
        <v>1</v>
      </c>
      <c r="D361">
        <f>_xlfn.XLOOKUP(Order_Report10[[#This Row],[SKU]],SKU_Master[SKU],SKU_Master[Weight (g)],"not found")</f>
        <v>240</v>
      </c>
      <c r="E361">
        <f>Order_Report10[[#This Row],[order weight ]]*Order_Report10[[#This Row],[Order Qty]]</f>
        <v>240</v>
      </c>
    </row>
    <row r="362" spans="1:5" x14ac:dyDescent="0.3">
      <c r="A362">
        <v>2001806471</v>
      </c>
      <c r="B362" t="s">
        <v>25</v>
      </c>
      <c r="C362">
        <v>2</v>
      </c>
      <c r="D362">
        <f>_xlfn.XLOOKUP(Order_Report10[[#This Row],[SKU]],SKU_Master[SKU],SKU_Master[Weight (g)],"not found")</f>
        <v>127</v>
      </c>
      <c r="E362">
        <f>Order_Report10[[#This Row],[order weight ]]*Order_Report10[[#This Row],[Order Qty]]</f>
        <v>254</v>
      </c>
    </row>
    <row r="363" spans="1:5" x14ac:dyDescent="0.3">
      <c r="A363">
        <v>2001806471</v>
      </c>
      <c r="B363" t="s">
        <v>34</v>
      </c>
      <c r="C363">
        <v>2</v>
      </c>
      <c r="D363">
        <f>_xlfn.XLOOKUP(Order_Report10[[#This Row],[SKU]],SKU_Master[SKU],SKU_Master[Weight (g)],"not found")</f>
        <v>133</v>
      </c>
      <c r="E363">
        <f>Order_Report10[[#This Row],[order weight ]]*Order_Report10[[#This Row],[Order Qty]]</f>
        <v>266</v>
      </c>
    </row>
    <row r="364" spans="1:5" x14ac:dyDescent="0.3">
      <c r="A364">
        <v>2001806471</v>
      </c>
      <c r="B364" t="s">
        <v>30</v>
      </c>
      <c r="C364">
        <v>2</v>
      </c>
      <c r="D364">
        <f>_xlfn.XLOOKUP(Order_Report10[[#This Row],[SKU]],SKU_Master[SKU],SKU_Master[Weight (g)],"not found")</f>
        <v>240</v>
      </c>
      <c r="E364">
        <f>Order_Report10[[#This Row],[order weight ]]*Order_Report10[[#This Row],[Order Qty]]</f>
        <v>480</v>
      </c>
    </row>
    <row r="365" spans="1:5" x14ac:dyDescent="0.3">
      <c r="A365">
        <v>2001806471</v>
      </c>
      <c r="B365" t="s">
        <v>25</v>
      </c>
      <c r="C365">
        <v>1</v>
      </c>
      <c r="D365">
        <f>_xlfn.XLOOKUP(Order_Report10[[#This Row],[SKU]],SKU_Master[SKU],SKU_Master[Weight (g)],"not found")</f>
        <v>127</v>
      </c>
      <c r="E365">
        <f>Order_Report10[[#This Row],[order weight ]]*Order_Report10[[#This Row],[Order Qty]]</f>
        <v>127</v>
      </c>
    </row>
    <row r="366" spans="1:5" x14ac:dyDescent="0.3">
      <c r="A366">
        <v>2001806471</v>
      </c>
      <c r="B366" t="s">
        <v>34</v>
      </c>
      <c r="C366">
        <v>1</v>
      </c>
      <c r="D366">
        <f>_xlfn.XLOOKUP(Order_Report10[[#This Row],[SKU]],SKU_Master[SKU],SKU_Master[Weight (g)],"not found")</f>
        <v>133</v>
      </c>
      <c r="E366">
        <f>Order_Report10[[#This Row],[order weight ]]*Order_Report10[[#This Row],[Order Qty]]</f>
        <v>133</v>
      </c>
    </row>
    <row r="367" spans="1:5" x14ac:dyDescent="0.3">
      <c r="A367">
        <v>2001806471</v>
      </c>
      <c r="B367" t="s">
        <v>30</v>
      </c>
      <c r="C367">
        <v>1</v>
      </c>
      <c r="D367">
        <f>_xlfn.XLOOKUP(Order_Report10[[#This Row],[SKU]],SKU_Master[SKU],SKU_Master[Weight (g)],"not found")</f>
        <v>240</v>
      </c>
      <c r="E367">
        <f>Order_Report10[[#This Row],[order weight ]]*Order_Report10[[#This Row],[Order Qty]]</f>
        <v>240</v>
      </c>
    </row>
    <row r="368" spans="1:5" x14ac:dyDescent="0.3">
      <c r="A368">
        <v>2001806471</v>
      </c>
      <c r="B368" t="s">
        <v>24</v>
      </c>
      <c r="C368">
        <v>1</v>
      </c>
      <c r="D368">
        <f>_xlfn.XLOOKUP(Order_Report10[[#This Row],[SKU]],SKU_Master[SKU],SKU_Master[Weight (g)],"not found")</f>
        <v>121</v>
      </c>
      <c r="E368">
        <f>Order_Report10[[#This Row],[order weight ]]*Order_Report10[[#This Row],[Order Qty]]</f>
        <v>121</v>
      </c>
    </row>
    <row r="369" spans="1:5" x14ac:dyDescent="0.3">
      <c r="A369">
        <v>2001806458</v>
      </c>
      <c r="B369" t="s">
        <v>48</v>
      </c>
      <c r="C369">
        <v>1</v>
      </c>
      <c r="D369">
        <f>_xlfn.XLOOKUP(Order_Report10[[#This Row],[SKU]],SKU_Master[SKU],SKU_Master[Weight (g)],"not found")</f>
        <v>350</v>
      </c>
      <c r="E369">
        <f>Order_Report10[[#This Row],[order weight ]]*Order_Report10[[#This Row],[Order Qty]]</f>
        <v>350</v>
      </c>
    </row>
    <row r="370" spans="1:5" x14ac:dyDescent="0.3">
      <c r="A370">
        <v>2001806458</v>
      </c>
      <c r="B370" t="s">
        <v>16</v>
      </c>
      <c r="C370">
        <v>1</v>
      </c>
      <c r="D370">
        <f>_xlfn.XLOOKUP(Order_Report10[[#This Row],[SKU]],SKU_Master[SKU],SKU_Master[Weight (g)],"not found")</f>
        <v>350</v>
      </c>
      <c r="E370">
        <f>Order_Report10[[#This Row],[order weight ]]*Order_Report10[[#This Row],[Order Qty]]</f>
        <v>350</v>
      </c>
    </row>
    <row r="371" spans="1:5" x14ac:dyDescent="0.3">
      <c r="A371">
        <v>2001806446</v>
      </c>
      <c r="B371" t="s">
        <v>25</v>
      </c>
      <c r="C371">
        <v>1</v>
      </c>
      <c r="D371">
        <f>_xlfn.XLOOKUP(Order_Report10[[#This Row],[SKU]],SKU_Master[SKU],SKU_Master[Weight (g)],"not found")</f>
        <v>127</v>
      </c>
      <c r="E371">
        <f>Order_Report10[[#This Row],[order weight ]]*Order_Report10[[#This Row],[Order Qty]]</f>
        <v>127</v>
      </c>
    </row>
    <row r="372" spans="1:5" x14ac:dyDescent="0.3">
      <c r="A372">
        <v>2001806446</v>
      </c>
      <c r="B372" t="s">
        <v>34</v>
      </c>
      <c r="C372">
        <v>1</v>
      </c>
      <c r="D372">
        <f>_xlfn.XLOOKUP(Order_Report10[[#This Row],[SKU]],SKU_Master[SKU],SKU_Master[Weight (g)],"not found")</f>
        <v>133</v>
      </c>
      <c r="E372">
        <f>Order_Report10[[#This Row],[order weight ]]*Order_Report10[[#This Row],[Order Qty]]</f>
        <v>133</v>
      </c>
    </row>
    <row r="373" spans="1:5" x14ac:dyDescent="0.3">
      <c r="A373">
        <v>2001806446</v>
      </c>
      <c r="B373" t="s">
        <v>30</v>
      </c>
      <c r="C373">
        <v>1</v>
      </c>
      <c r="D373">
        <f>_xlfn.XLOOKUP(Order_Report10[[#This Row],[SKU]],SKU_Master[SKU],SKU_Master[Weight (g)],"not found")</f>
        <v>240</v>
      </c>
      <c r="E373">
        <f>Order_Report10[[#This Row],[order weight ]]*Order_Report10[[#This Row],[Order Qty]]</f>
        <v>240</v>
      </c>
    </row>
    <row r="374" spans="1:5" x14ac:dyDescent="0.3">
      <c r="A374">
        <v>2001806408</v>
      </c>
      <c r="B374" t="s">
        <v>55</v>
      </c>
      <c r="C374">
        <v>2</v>
      </c>
      <c r="D374">
        <f>_xlfn.XLOOKUP(Order_Report10[[#This Row],[SKU]],SKU_Master[SKU],SKU_Master[Weight (g)],"not found")</f>
        <v>552</v>
      </c>
      <c r="E374">
        <f>Order_Report10[[#This Row],[order weight ]]*Order_Report10[[#This Row],[Order Qty]]</f>
        <v>1104</v>
      </c>
    </row>
    <row r="375" spans="1:5" x14ac:dyDescent="0.3">
      <c r="A375">
        <v>2001806408</v>
      </c>
      <c r="B375" t="s">
        <v>50</v>
      </c>
      <c r="C375">
        <v>1</v>
      </c>
      <c r="D375">
        <f>_xlfn.XLOOKUP(Order_Report10[[#This Row],[SKU]],SKU_Master[SKU],SKU_Master[Weight (g)],"not found")</f>
        <v>165</v>
      </c>
      <c r="E375">
        <f>Order_Report10[[#This Row],[order weight ]]*Order_Report10[[#This Row],[Order Qty]]</f>
        <v>165</v>
      </c>
    </row>
    <row r="376" spans="1:5" x14ac:dyDescent="0.3">
      <c r="A376">
        <v>2001806408</v>
      </c>
      <c r="B376" t="s">
        <v>35</v>
      </c>
      <c r="C376">
        <v>8</v>
      </c>
      <c r="D376">
        <f>_xlfn.XLOOKUP(Order_Report10[[#This Row],[SKU]],SKU_Master[SKU],SKU_Master[Weight (g)],"not found")</f>
        <v>112</v>
      </c>
      <c r="E376">
        <f>Order_Report10[[#This Row],[order weight ]]*Order_Report10[[#This Row],[Order Qty]]</f>
        <v>896</v>
      </c>
    </row>
    <row r="377" spans="1:5" x14ac:dyDescent="0.3">
      <c r="A377">
        <v>2001806408</v>
      </c>
      <c r="B377" t="s">
        <v>32</v>
      </c>
      <c r="C377">
        <v>1</v>
      </c>
      <c r="D377">
        <f>_xlfn.XLOOKUP(Order_Report10[[#This Row],[SKU]],SKU_Master[SKU],SKU_Master[Weight (g)],"not found")</f>
        <v>100</v>
      </c>
      <c r="E377">
        <f>Order_Report10[[#This Row],[order weight ]]*Order_Report10[[#This Row],[Order Qty]]</f>
        <v>100</v>
      </c>
    </row>
    <row r="378" spans="1:5" x14ac:dyDescent="0.3">
      <c r="A378">
        <v>2001806338</v>
      </c>
      <c r="B378" t="s">
        <v>25</v>
      </c>
      <c r="C378">
        <v>1</v>
      </c>
      <c r="D378">
        <f>_xlfn.XLOOKUP(Order_Report10[[#This Row],[SKU]],SKU_Master[SKU],SKU_Master[Weight (g)],"not found")</f>
        <v>127</v>
      </c>
      <c r="E378">
        <f>Order_Report10[[#This Row],[order weight ]]*Order_Report10[[#This Row],[Order Qty]]</f>
        <v>127</v>
      </c>
    </row>
    <row r="379" spans="1:5" x14ac:dyDescent="0.3">
      <c r="A379">
        <v>2001806338</v>
      </c>
      <c r="B379" t="s">
        <v>34</v>
      </c>
      <c r="C379">
        <v>1</v>
      </c>
      <c r="D379">
        <f>_xlfn.XLOOKUP(Order_Report10[[#This Row],[SKU]],SKU_Master[SKU],SKU_Master[Weight (g)],"not found")</f>
        <v>133</v>
      </c>
      <c r="E379">
        <f>Order_Report10[[#This Row],[order weight ]]*Order_Report10[[#This Row],[Order Qty]]</f>
        <v>133</v>
      </c>
    </row>
    <row r="380" spans="1:5" x14ac:dyDescent="0.3">
      <c r="A380">
        <v>2001806338</v>
      </c>
      <c r="B380" t="s">
        <v>30</v>
      </c>
      <c r="C380">
        <v>1</v>
      </c>
      <c r="D380">
        <f>_xlfn.XLOOKUP(Order_Report10[[#This Row],[SKU]],SKU_Master[SKU],SKU_Master[Weight (g)],"not found")</f>
        <v>240</v>
      </c>
      <c r="E380">
        <f>Order_Report10[[#This Row],[order weight ]]*Order_Report10[[#This Row],[Order Qty]]</f>
        <v>240</v>
      </c>
    </row>
    <row r="381" spans="1:5" x14ac:dyDescent="0.3">
      <c r="A381">
        <v>2001806304</v>
      </c>
      <c r="B381" t="s">
        <v>25</v>
      </c>
      <c r="C381">
        <v>1</v>
      </c>
      <c r="D381">
        <f>_xlfn.XLOOKUP(Order_Report10[[#This Row],[SKU]],SKU_Master[SKU],SKU_Master[Weight (g)],"not found")</f>
        <v>127</v>
      </c>
      <c r="E381">
        <f>Order_Report10[[#This Row],[order weight ]]*Order_Report10[[#This Row],[Order Qty]]</f>
        <v>127</v>
      </c>
    </row>
    <row r="382" spans="1:5" x14ac:dyDescent="0.3">
      <c r="A382">
        <v>2001806304</v>
      </c>
      <c r="B382" t="s">
        <v>34</v>
      </c>
      <c r="C382">
        <v>1</v>
      </c>
      <c r="D382">
        <f>_xlfn.XLOOKUP(Order_Report10[[#This Row],[SKU]],SKU_Master[SKU],SKU_Master[Weight (g)],"not found")</f>
        <v>133</v>
      </c>
      <c r="E382">
        <f>Order_Report10[[#This Row],[order weight ]]*Order_Report10[[#This Row],[Order Qty]]</f>
        <v>133</v>
      </c>
    </row>
    <row r="383" spans="1:5" x14ac:dyDescent="0.3">
      <c r="A383">
        <v>2001806304</v>
      </c>
      <c r="B383" t="s">
        <v>30</v>
      </c>
      <c r="C383">
        <v>1</v>
      </c>
      <c r="D383">
        <f>_xlfn.XLOOKUP(Order_Report10[[#This Row],[SKU]],SKU_Master[SKU],SKU_Master[Weight (g)],"not found")</f>
        <v>240</v>
      </c>
      <c r="E383">
        <f>Order_Report10[[#This Row],[order weight ]]*Order_Report10[[#This Row],[Order Qty]]</f>
        <v>240</v>
      </c>
    </row>
    <row r="384" spans="1:5" x14ac:dyDescent="0.3">
      <c r="A384">
        <v>2001806273</v>
      </c>
      <c r="B384" t="s">
        <v>38</v>
      </c>
      <c r="C384">
        <v>1</v>
      </c>
      <c r="D384">
        <f>_xlfn.XLOOKUP(Order_Report10[[#This Row],[SKU]],SKU_Master[SKU],SKU_Master[Weight (g)],"not found")</f>
        <v>115</v>
      </c>
      <c r="E384">
        <f>Order_Report10[[#This Row],[order weight ]]*Order_Report10[[#This Row],[Order Qty]]</f>
        <v>115</v>
      </c>
    </row>
    <row r="385" spans="1:5" x14ac:dyDescent="0.3">
      <c r="A385">
        <v>2001806273</v>
      </c>
      <c r="B385" t="s">
        <v>25</v>
      </c>
      <c r="C385">
        <v>1</v>
      </c>
      <c r="D385">
        <f>_xlfn.XLOOKUP(Order_Report10[[#This Row],[SKU]],SKU_Master[SKU],SKU_Master[Weight (g)],"not found")</f>
        <v>127</v>
      </c>
      <c r="E385">
        <f>Order_Report10[[#This Row],[order weight ]]*Order_Report10[[#This Row],[Order Qty]]</f>
        <v>127</v>
      </c>
    </row>
    <row r="386" spans="1:5" x14ac:dyDescent="0.3">
      <c r="A386">
        <v>2001806273</v>
      </c>
      <c r="B386" t="s">
        <v>34</v>
      </c>
      <c r="C386">
        <v>1</v>
      </c>
      <c r="D386">
        <f>_xlfn.XLOOKUP(Order_Report10[[#This Row],[SKU]],SKU_Master[SKU],SKU_Master[Weight (g)],"not found")</f>
        <v>133</v>
      </c>
      <c r="E386">
        <f>Order_Report10[[#This Row],[order weight ]]*Order_Report10[[#This Row],[Order Qty]]</f>
        <v>133</v>
      </c>
    </row>
    <row r="387" spans="1:5" x14ac:dyDescent="0.3">
      <c r="A387">
        <v>2001806273</v>
      </c>
      <c r="B387" t="s">
        <v>30</v>
      </c>
      <c r="C387">
        <v>1</v>
      </c>
      <c r="D387">
        <f>_xlfn.XLOOKUP(Order_Report10[[#This Row],[SKU]],SKU_Master[SKU],SKU_Master[Weight (g)],"not found")</f>
        <v>240</v>
      </c>
      <c r="E387">
        <f>Order_Report10[[#This Row],[order weight ]]*Order_Report10[[#This Row],[Order Qty]]</f>
        <v>240</v>
      </c>
    </row>
    <row r="388" spans="1:5" x14ac:dyDescent="0.3">
      <c r="A388">
        <v>2001806251</v>
      </c>
      <c r="B388" t="s">
        <v>42</v>
      </c>
      <c r="C388">
        <v>1</v>
      </c>
      <c r="D388">
        <f>_xlfn.XLOOKUP(Order_Report10[[#This Row],[SKU]],SKU_Master[SKU],SKU_Master[Weight (g)],"not found")</f>
        <v>115</v>
      </c>
      <c r="E388">
        <f>Order_Report10[[#This Row],[order weight ]]*Order_Report10[[#This Row],[Order Qty]]</f>
        <v>115</v>
      </c>
    </row>
    <row r="389" spans="1:5" x14ac:dyDescent="0.3">
      <c r="A389">
        <v>2001806251</v>
      </c>
      <c r="B389" t="s">
        <v>63</v>
      </c>
      <c r="C389">
        <v>1</v>
      </c>
      <c r="D389">
        <f>_xlfn.XLOOKUP(Order_Report10[[#This Row],[SKU]],SKU_Master[SKU],SKU_Master[Weight (g)],"not found")</f>
        <v>130</v>
      </c>
      <c r="E389">
        <f>Order_Report10[[#This Row],[order weight ]]*Order_Report10[[#This Row],[Order Qty]]</f>
        <v>130</v>
      </c>
    </row>
    <row r="390" spans="1:5" x14ac:dyDescent="0.3">
      <c r="A390">
        <v>2001806233</v>
      </c>
      <c r="B390" t="s">
        <v>42</v>
      </c>
      <c r="C390">
        <v>1</v>
      </c>
      <c r="D390">
        <f>_xlfn.XLOOKUP(Order_Report10[[#This Row],[SKU]],SKU_Master[SKU],SKU_Master[Weight (g)],"not found")</f>
        <v>115</v>
      </c>
      <c r="E390">
        <f>Order_Report10[[#This Row],[order weight ]]*Order_Report10[[#This Row],[Order Qty]]</f>
        <v>115</v>
      </c>
    </row>
    <row r="391" spans="1:5" x14ac:dyDescent="0.3">
      <c r="A391">
        <v>2001806233</v>
      </c>
      <c r="B391" t="s">
        <v>63</v>
      </c>
      <c r="C391">
        <v>1</v>
      </c>
      <c r="D391">
        <f>_xlfn.XLOOKUP(Order_Report10[[#This Row],[SKU]],SKU_Master[SKU],SKU_Master[Weight (g)],"not found")</f>
        <v>130</v>
      </c>
      <c r="E391">
        <f>Order_Report10[[#This Row],[order weight ]]*Order_Report10[[#This Row],[Order Qty]]</f>
        <v>130</v>
      </c>
    </row>
    <row r="392" spans="1:5" x14ac:dyDescent="0.3">
      <c r="A392">
        <v>2001806232</v>
      </c>
      <c r="B392" t="s">
        <v>22</v>
      </c>
      <c r="C392">
        <v>6</v>
      </c>
      <c r="D392">
        <f>_xlfn.XLOOKUP(Order_Report10[[#This Row],[SKU]],SKU_Master[SKU],SKU_Master[Weight (g)],"not found")</f>
        <v>137</v>
      </c>
      <c r="E392">
        <f>Order_Report10[[#This Row],[order weight ]]*Order_Report10[[#This Row],[Order Qty]]</f>
        <v>822</v>
      </c>
    </row>
    <row r="393" spans="1:5" x14ac:dyDescent="0.3">
      <c r="A393">
        <v>2001806232</v>
      </c>
      <c r="B393" t="s">
        <v>43</v>
      </c>
      <c r="C393">
        <v>2</v>
      </c>
      <c r="D393">
        <f>_xlfn.XLOOKUP(Order_Report10[[#This Row],[SKU]],SKU_Master[SKU],SKU_Master[Weight (g)],"not found")</f>
        <v>240</v>
      </c>
      <c r="E393">
        <f>Order_Report10[[#This Row],[order weight ]]*Order_Report10[[#This Row],[Order Qty]]</f>
        <v>480</v>
      </c>
    </row>
    <row r="394" spans="1:5" x14ac:dyDescent="0.3">
      <c r="A394">
        <v>2001806229</v>
      </c>
      <c r="B394" t="s">
        <v>25</v>
      </c>
      <c r="C394">
        <v>1</v>
      </c>
      <c r="D394">
        <f>_xlfn.XLOOKUP(Order_Report10[[#This Row],[SKU]],SKU_Master[SKU],SKU_Master[Weight (g)],"not found")</f>
        <v>127</v>
      </c>
      <c r="E394">
        <f>Order_Report10[[#This Row],[order weight ]]*Order_Report10[[#This Row],[Order Qty]]</f>
        <v>127</v>
      </c>
    </row>
    <row r="395" spans="1:5" x14ac:dyDescent="0.3">
      <c r="A395">
        <v>2001806229</v>
      </c>
      <c r="B395" t="s">
        <v>34</v>
      </c>
      <c r="C395">
        <v>1</v>
      </c>
      <c r="D395">
        <f>_xlfn.XLOOKUP(Order_Report10[[#This Row],[SKU]],SKU_Master[SKU],SKU_Master[Weight (g)],"not found")</f>
        <v>133</v>
      </c>
      <c r="E395">
        <f>Order_Report10[[#This Row],[order weight ]]*Order_Report10[[#This Row],[Order Qty]]</f>
        <v>133</v>
      </c>
    </row>
    <row r="396" spans="1:5" x14ac:dyDescent="0.3">
      <c r="A396">
        <v>2001806229</v>
      </c>
      <c r="B396" t="s">
        <v>30</v>
      </c>
      <c r="C396">
        <v>1</v>
      </c>
      <c r="D396">
        <f>_xlfn.XLOOKUP(Order_Report10[[#This Row],[SKU]],SKU_Master[SKU],SKU_Master[Weight (g)],"not found")</f>
        <v>240</v>
      </c>
      <c r="E396">
        <f>Order_Report10[[#This Row],[order weight ]]*Order_Report10[[#This Row],[Order Qty]]</f>
        <v>240</v>
      </c>
    </row>
    <row r="397" spans="1:5" x14ac:dyDescent="0.3">
      <c r="A397">
        <v>2001806226</v>
      </c>
      <c r="B397" t="s">
        <v>30</v>
      </c>
      <c r="C397">
        <v>2</v>
      </c>
      <c r="D397">
        <f>_xlfn.XLOOKUP(Order_Report10[[#This Row],[SKU]],SKU_Master[SKU],SKU_Master[Weight (g)],"not found")</f>
        <v>240</v>
      </c>
      <c r="E397">
        <f>Order_Report10[[#This Row],[order weight ]]*Order_Report10[[#This Row],[Order Qty]]</f>
        <v>480</v>
      </c>
    </row>
    <row r="398" spans="1:5" x14ac:dyDescent="0.3">
      <c r="A398">
        <v>2001806210</v>
      </c>
      <c r="B398" t="s">
        <v>10</v>
      </c>
      <c r="C398">
        <v>1</v>
      </c>
      <c r="D398">
        <f>_xlfn.XLOOKUP(Order_Report10[[#This Row],[SKU]],SKU_Master[SKU],SKU_Master[Weight (g)],"not found")</f>
        <v>120</v>
      </c>
      <c r="E398">
        <f>Order_Report10[[#This Row],[order weight ]]*Order_Report10[[#This Row],[Order Qty]]</f>
        <v>120</v>
      </c>
    </row>
    <row r="399" spans="1:5" x14ac:dyDescent="0.3">
      <c r="A399">
        <v>2001806210</v>
      </c>
      <c r="B399" t="s">
        <v>32</v>
      </c>
      <c r="C399">
        <v>1</v>
      </c>
      <c r="D399">
        <f>_xlfn.XLOOKUP(Order_Report10[[#This Row],[SKU]],SKU_Master[SKU],SKU_Master[Weight (g)],"not found")</f>
        <v>100</v>
      </c>
      <c r="E399">
        <f>Order_Report10[[#This Row],[order weight ]]*Order_Report10[[#This Row],[Order Qty]]</f>
        <v>100</v>
      </c>
    </row>
  </sheetData>
  <conditionalFormatting sqref="Y3:Y12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3:U126">
    <cfRule type="colorScale" priority="6">
      <colorScale>
        <cfvo type="min"/>
        <cfvo type="max"/>
        <color rgb="FFFCFCFF"/>
        <color rgb="FF63BE7B"/>
      </colorScale>
    </cfRule>
  </conditionalFormatting>
  <conditionalFormatting sqref="V3:V126">
    <cfRule type="colorScale" priority="5">
      <colorScale>
        <cfvo type="min"/>
        <cfvo type="max"/>
        <color rgb="FFFCFCFF"/>
        <color rgb="FF63BE7B"/>
      </colorScale>
    </cfRule>
  </conditionalFormatting>
  <conditionalFormatting sqref="P3:P126">
    <cfRule type="colorScale" priority="4">
      <colorScale>
        <cfvo type="min"/>
        <cfvo type="max"/>
        <color rgb="FFFCFCFF"/>
        <color rgb="FF63BE7B"/>
      </colorScale>
    </cfRule>
  </conditionalFormatting>
  <conditionalFormatting sqref="AG4:AG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{9C6FD2F9-8701-4245-B246-8A4ED522E072}</x14:id>
        </ext>
      </extLst>
    </cfRule>
  </conditionalFormatting>
  <conditionalFormatting sqref="AF4:AF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{4661D373-F6AE-4E5A-93F7-15CB7DE80D43}</x14:id>
        </ext>
      </extLst>
    </cfRule>
  </conditionalFormatting>
  <conditionalFormatting sqref="AE4:AE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{45A21A12-4B2D-45DE-81A9-FE0F004C9C8B}</x14:id>
        </ext>
      </extLst>
    </cfRule>
  </conditionalFormatting>
  <pageMargins left="0.7" right="0.7" top="0.75" bottom="0.75" header="0.3" footer="0.3"/>
  <tableParts count="3">
    <tablePart r:id="rId1"/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6FD2F9-8701-4245-B246-8A4ED522E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AG4:AG6</xm:sqref>
        </x14:conditionalFormatting>
        <x14:conditionalFormatting xmlns:xm="http://schemas.microsoft.com/office/excel/2006/main">
          <x14:cfRule type="dataBar" id="{4661D373-F6AE-4E5A-93F7-15CB7DE80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AF4:AF6</xm:sqref>
        </x14:conditionalFormatting>
        <x14:conditionalFormatting xmlns:xm="http://schemas.microsoft.com/office/excel/2006/main">
          <x14:cfRule type="dataBar" id="{45A21A12-4B2D-45DE-81A9-FE0F004C9C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AE4:AE6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F8C1A-AE8C-4041-8F9F-504A0D30D163}">
  <dimension ref="A1"/>
  <sheetViews>
    <sheetView workbookViewId="0">
      <selection sqref="A1:M125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3D6-3FDC-4F16-9AB0-FF62C368758A}">
  <sheetPr codeName="Sheet3"/>
  <dimension ref="A1:H66"/>
  <sheetViews>
    <sheetView workbookViewId="0">
      <selection activeCell="L10" sqref="L10"/>
    </sheetView>
  </sheetViews>
  <sheetFormatPr defaultRowHeight="14.4" x14ac:dyDescent="0.3"/>
  <cols>
    <col min="1" max="5" width="15.777343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G1" t="b" cm="1">
        <f t="array" ref="G1:G65">ISBLANK(SKU_Master[SKU])</f>
        <v>0</v>
      </c>
      <c r="H1" t="b" cm="1">
        <f t="array" ref="H1:H65">ISBLANK(SKU_Master[Weight (g)])</f>
        <v>0</v>
      </c>
    </row>
    <row r="2" spans="1:8" x14ac:dyDescent="0.3">
      <c r="A2" t="s">
        <v>5</v>
      </c>
      <c r="B2">
        <v>210</v>
      </c>
      <c r="C2" t="s">
        <v>6</v>
      </c>
      <c r="D2" t="s">
        <v>6</v>
      </c>
      <c r="E2" t="s">
        <v>6</v>
      </c>
      <c r="G2" t="b">
        <v>0</v>
      </c>
      <c r="H2" t="b">
        <v>0</v>
      </c>
    </row>
    <row r="3" spans="1:8" x14ac:dyDescent="0.3">
      <c r="A3" t="s">
        <v>7</v>
      </c>
      <c r="B3">
        <v>165</v>
      </c>
      <c r="C3" t="s">
        <v>6</v>
      </c>
      <c r="D3" t="s">
        <v>6</v>
      </c>
      <c r="E3" t="s">
        <v>6</v>
      </c>
      <c r="G3" t="b">
        <v>0</v>
      </c>
      <c r="H3" t="b">
        <v>0</v>
      </c>
    </row>
    <row r="4" spans="1:8" x14ac:dyDescent="0.3">
      <c r="A4" t="s">
        <v>8</v>
      </c>
      <c r="B4">
        <v>113</v>
      </c>
      <c r="C4" t="s">
        <v>6</v>
      </c>
      <c r="D4" t="s">
        <v>6</v>
      </c>
      <c r="E4" t="s">
        <v>6</v>
      </c>
      <c r="G4" t="b">
        <v>0</v>
      </c>
      <c r="H4" t="b">
        <v>0</v>
      </c>
    </row>
    <row r="5" spans="1:8" x14ac:dyDescent="0.3">
      <c r="A5" t="s">
        <v>9</v>
      </c>
      <c r="B5">
        <v>65</v>
      </c>
      <c r="C5" t="s">
        <v>6</v>
      </c>
      <c r="D5" t="s">
        <v>6</v>
      </c>
      <c r="E5" t="s">
        <v>6</v>
      </c>
      <c r="G5" t="b">
        <v>0</v>
      </c>
      <c r="H5" t="b">
        <v>0</v>
      </c>
    </row>
    <row r="6" spans="1:8" x14ac:dyDescent="0.3">
      <c r="A6" t="s">
        <v>10</v>
      </c>
      <c r="B6">
        <v>120</v>
      </c>
      <c r="C6" t="s">
        <v>6</v>
      </c>
      <c r="D6" t="s">
        <v>6</v>
      </c>
      <c r="E6" t="s">
        <v>6</v>
      </c>
      <c r="G6" t="b">
        <v>0</v>
      </c>
      <c r="H6" t="b">
        <v>0</v>
      </c>
    </row>
    <row r="7" spans="1:8" x14ac:dyDescent="0.3">
      <c r="A7" t="s">
        <v>11</v>
      </c>
      <c r="B7">
        <v>102</v>
      </c>
      <c r="C7" t="s">
        <v>6</v>
      </c>
      <c r="D7" t="s">
        <v>6</v>
      </c>
      <c r="E7" t="s">
        <v>6</v>
      </c>
      <c r="G7" t="b">
        <v>0</v>
      </c>
      <c r="H7" t="b">
        <v>0</v>
      </c>
    </row>
    <row r="8" spans="1:8" x14ac:dyDescent="0.3">
      <c r="A8" t="s">
        <v>12</v>
      </c>
      <c r="B8">
        <v>65</v>
      </c>
      <c r="C8" t="s">
        <v>6</v>
      </c>
      <c r="D8" t="s">
        <v>6</v>
      </c>
      <c r="E8" t="s">
        <v>6</v>
      </c>
      <c r="G8" t="b">
        <v>0</v>
      </c>
      <c r="H8" t="b">
        <v>0</v>
      </c>
    </row>
    <row r="9" spans="1:8" x14ac:dyDescent="0.3">
      <c r="A9" t="s">
        <v>13</v>
      </c>
      <c r="B9">
        <v>170</v>
      </c>
      <c r="C9" t="s">
        <v>6</v>
      </c>
      <c r="D9" t="s">
        <v>6</v>
      </c>
      <c r="E9" t="s">
        <v>6</v>
      </c>
      <c r="G9" t="b">
        <v>0</v>
      </c>
      <c r="H9" t="b">
        <v>0</v>
      </c>
    </row>
    <row r="10" spans="1:8" x14ac:dyDescent="0.3">
      <c r="A10" t="s">
        <v>14</v>
      </c>
      <c r="B10">
        <v>350</v>
      </c>
      <c r="C10" t="s">
        <v>6</v>
      </c>
      <c r="D10" t="s">
        <v>6</v>
      </c>
      <c r="E10" t="s">
        <v>6</v>
      </c>
      <c r="G10" t="b">
        <v>0</v>
      </c>
      <c r="H10" t="b">
        <v>0</v>
      </c>
    </row>
    <row r="11" spans="1:8" x14ac:dyDescent="0.3">
      <c r="A11" t="s">
        <v>15</v>
      </c>
      <c r="B11">
        <v>165</v>
      </c>
      <c r="C11" t="s">
        <v>6</v>
      </c>
      <c r="D11" t="s">
        <v>6</v>
      </c>
      <c r="E11" t="s">
        <v>6</v>
      </c>
      <c r="G11" t="b">
        <v>0</v>
      </c>
      <c r="H11" t="b">
        <v>0</v>
      </c>
    </row>
    <row r="12" spans="1:8" x14ac:dyDescent="0.3">
      <c r="A12" t="s">
        <v>16</v>
      </c>
      <c r="B12">
        <v>350</v>
      </c>
      <c r="C12" t="s">
        <v>6</v>
      </c>
      <c r="D12" t="s">
        <v>6</v>
      </c>
      <c r="E12" t="s">
        <v>6</v>
      </c>
      <c r="G12" t="b">
        <v>0</v>
      </c>
      <c r="H12" t="b">
        <v>0</v>
      </c>
    </row>
    <row r="13" spans="1:8" x14ac:dyDescent="0.3">
      <c r="A13" t="s">
        <v>17</v>
      </c>
      <c r="B13">
        <v>115</v>
      </c>
      <c r="C13" t="s">
        <v>6</v>
      </c>
      <c r="D13" t="s">
        <v>6</v>
      </c>
      <c r="E13" t="s">
        <v>6</v>
      </c>
      <c r="G13" t="b">
        <v>0</v>
      </c>
      <c r="H13" t="b">
        <v>0</v>
      </c>
    </row>
    <row r="14" spans="1:8" x14ac:dyDescent="0.3">
      <c r="A14" t="s">
        <v>18</v>
      </c>
      <c r="B14">
        <v>150</v>
      </c>
      <c r="C14" t="s">
        <v>6</v>
      </c>
      <c r="D14" t="s">
        <v>6</v>
      </c>
      <c r="E14" t="s">
        <v>6</v>
      </c>
      <c r="G14" t="b">
        <v>0</v>
      </c>
      <c r="H14" t="b">
        <v>0</v>
      </c>
    </row>
    <row r="15" spans="1:8" x14ac:dyDescent="0.3">
      <c r="A15" t="s">
        <v>19</v>
      </c>
      <c r="B15">
        <v>120</v>
      </c>
      <c r="C15" t="s">
        <v>6</v>
      </c>
      <c r="D15" t="s">
        <v>6</v>
      </c>
      <c r="E15" t="s">
        <v>6</v>
      </c>
      <c r="G15" t="b">
        <v>0</v>
      </c>
      <c r="H15" t="b">
        <v>0</v>
      </c>
    </row>
    <row r="16" spans="1:8" x14ac:dyDescent="0.3">
      <c r="A16" t="s">
        <v>20</v>
      </c>
      <c r="B16">
        <v>65</v>
      </c>
      <c r="C16" t="s">
        <v>6</v>
      </c>
      <c r="D16" t="s">
        <v>6</v>
      </c>
      <c r="E16" t="s">
        <v>6</v>
      </c>
      <c r="G16" t="b">
        <v>0</v>
      </c>
      <c r="H16" t="b">
        <v>0</v>
      </c>
    </row>
    <row r="17" spans="1:8" x14ac:dyDescent="0.3">
      <c r="A17" t="s">
        <v>21</v>
      </c>
      <c r="B17">
        <v>137</v>
      </c>
      <c r="C17" t="s">
        <v>6</v>
      </c>
      <c r="D17" t="s">
        <v>6</v>
      </c>
      <c r="E17" t="s">
        <v>6</v>
      </c>
      <c r="G17" t="b">
        <v>0</v>
      </c>
      <c r="H17" t="b">
        <v>0</v>
      </c>
    </row>
    <row r="18" spans="1:8" x14ac:dyDescent="0.3">
      <c r="A18" t="s">
        <v>22</v>
      </c>
      <c r="B18">
        <v>137</v>
      </c>
      <c r="C18" t="s">
        <v>6</v>
      </c>
      <c r="D18" t="s">
        <v>6</v>
      </c>
      <c r="E18" t="s">
        <v>6</v>
      </c>
      <c r="G18" t="b">
        <v>0</v>
      </c>
      <c r="H18" t="b">
        <v>0</v>
      </c>
    </row>
    <row r="19" spans="1:8" x14ac:dyDescent="0.3">
      <c r="A19" t="s">
        <v>23</v>
      </c>
      <c r="B19">
        <v>240</v>
      </c>
      <c r="C19" t="s">
        <v>6</v>
      </c>
      <c r="D19" t="s">
        <v>6</v>
      </c>
      <c r="E19" t="s">
        <v>6</v>
      </c>
      <c r="G19" t="b">
        <v>0</v>
      </c>
      <c r="H19" t="b">
        <v>0</v>
      </c>
    </row>
    <row r="20" spans="1:8" x14ac:dyDescent="0.3">
      <c r="A20" t="s">
        <v>24</v>
      </c>
      <c r="B20">
        <v>121</v>
      </c>
      <c r="C20" t="s">
        <v>6</v>
      </c>
      <c r="D20" t="s">
        <v>6</v>
      </c>
      <c r="E20" t="s">
        <v>6</v>
      </c>
      <c r="G20" t="b">
        <v>0</v>
      </c>
      <c r="H20" t="b">
        <v>0</v>
      </c>
    </row>
    <row r="21" spans="1:8" x14ac:dyDescent="0.3">
      <c r="A21" t="s">
        <v>25</v>
      </c>
      <c r="B21">
        <v>127</v>
      </c>
      <c r="C21" t="s">
        <v>6</v>
      </c>
      <c r="D21" t="s">
        <v>6</v>
      </c>
      <c r="E21" t="s">
        <v>6</v>
      </c>
      <c r="G21" t="b">
        <v>0</v>
      </c>
      <c r="H21" t="b">
        <v>0</v>
      </c>
    </row>
    <row r="22" spans="1:8" x14ac:dyDescent="0.3">
      <c r="A22" t="s">
        <v>26</v>
      </c>
      <c r="B22">
        <v>120</v>
      </c>
      <c r="C22" t="s">
        <v>6</v>
      </c>
      <c r="D22" t="s">
        <v>6</v>
      </c>
      <c r="E22" t="s">
        <v>6</v>
      </c>
      <c r="G22" t="b">
        <v>0</v>
      </c>
      <c r="H22" t="b">
        <v>0</v>
      </c>
    </row>
    <row r="23" spans="1:8" x14ac:dyDescent="0.3">
      <c r="A23" t="s">
        <v>27</v>
      </c>
      <c r="B23">
        <v>160</v>
      </c>
      <c r="C23" t="s">
        <v>6</v>
      </c>
      <c r="D23" t="s">
        <v>6</v>
      </c>
      <c r="E23" t="s">
        <v>6</v>
      </c>
      <c r="G23" t="b">
        <v>0</v>
      </c>
      <c r="H23" t="b">
        <v>0</v>
      </c>
    </row>
    <row r="24" spans="1:8" x14ac:dyDescent="0.3">
      <c r="A24" t="s">
        <v>28</v>
      </c>
      <c r="B24">
        <v>232</v>
      </c>
      <c r="C24" t="s">
        <v>6</v>
      </c>
      <c r="D24" t="s">
        <v>6</v>
      </c>
      <c r="E24" t="s">
        <v>6</v>
      </c>
      <c r="G24" t="b">
        <v>0</v>
      </c>
      <c r="H24" t="b">
        <v>0</v>
      </c>
    </row>
    <row r="25" spans="1:8" x14ac:dyDescent="0.3">
      <c r="A25" t="s">
        <v>29</v>
      </c>
      <c r="B25">
        <v>113</v>
      </c>
      <c r="C25" t="s">
        <v>6</v>
      </c>
      <c r="D25" t="s">
        <v>6</v>
      </c>
      <c r="E25" t="s">
        <v>6</v>
      </c>
      <c r="G25" t="b">
        <v>0</v>
      </c>
      <c r="H25" t="b">
        <v>0</v>
      </c>
    </row>
    <row r="26" spans="1:8" x14ac:dyDescent="0.3">
      <c r="A26" t="s">
        <v>30</v>
      </c>
      <c r="B26">
        <v>240</v>
      </c>
      <c r="C26" t="s">
        <v>6</v>
      </c>
      <c r="D26" t="s">
        <v>6</v>
      </c>
      <c r="E26" t="s">
        <v>6</v>
      </c>
      <c r="G26" t="b">
        <v>0</v>
      </c>
      <c r="H26" t="b">
        <v>0</v>
      </c>
    </row>
    <row r="27" spans="1:8" x14ac:dyDescent="0.3">
      <c r="A27" t="s">
        <v>31</v>
      </c>
      <c r="B27">
        <v>120</v>
      </c>
      <c r="C27" t="s">
        <v>6</v>
      </c>
      <c r="D27" t="s">
        <v>6</v>
      </c>
      <c r="E27" t="s">
        <v>6</v>
      </c>
      <c r="G27" t="b">
        <v>0</v>
      </c>
      <c r="H27" t="b">
        <v>0</v>
      </c>
    </row>
    <row r="28" spans="1:8" x14ac:dyDescent="0.3">
      <c r="A28" t="s">
        <v>32</v>
      </c>
      <c r="B28">
        <v>100</v>
      </c>
      <c r="C28" t="s">
        <v>6</v>
      </c>
      <c r="D28" t="s">
        <v>6</v>
      </c>
      <c r="E28" t="s">
        <v>6</v>
      </c>
      <c r="G28" t="b">
        <v>0</v>
      </c>
      <c r="H28" t="b">
        <v>0</v>
      </c>
    </row>
    <row r="29" spans="1:8" x14ac:dyDescent="0.3">
      <c r="A29" t="s">
        <v>33</v>
      </c>
      <c r="B29">
        <v>490</v>
      </c>
      <c r="C29" t="s">
        <v>6</v>
      </c>
      <c r="D29" t="s">
        <v>6</v>
      </c>
      <c r="E29" t="s">
        <v>6</v>
      </c>
      <c r="G29" t="b">
        <v>0</v>
      </c>
      <c r="H29" t="b">
        <v>0</v>
      </c>
    </row>
    <row r="30" spans="1:8" x14ac:dyDescent="0.3">
      <c r="A30" t="s">
        <v>34</v>
      </c>
      <c r="B30">
        <v>133</v>
      </c>
      <c r="C30" t="s">
        <v>6</v>
      </c>
      <c r="D30" t="s">
        <v>6</v>
      </c>
      <c r="E30" t="s">
        <v>6</v>
      </c>
      <c r="G30" t="b">
        <v>0</v>
      </c>
      <c r="H30" t="b">
        <v>0</v>
      </c>
    </row>
    <row r="31" spans="1:8" x14ac:dyDescent="0.3">
      <c r="A31" t="s">
        <v>35</v>
      </c>
      <c r="B31">
        <v>112</v>
      </c>
      <c r="C31" t="s">
        <v>6</v>
      </c>
      <c r="D31" t="s">
        <v>6</v>
      </c>
      <c r="E31" t="s">
        <v>6</v>
      </c>
      <c r="G31" t="b">
        <v>0</v>
      </c>
      <c r="H31" t="b">
        <v>0</v>
      </c>
    </row>
    <row r="32" spans="1:8" x14ac:dyDescent="0.3">
      <c r="A32" t="s">
        <v>36</v>
      </c>
      <c r="B32">
        <v>112</v>
      </c>
      <c r="C32" t="s">
        <v>6</v>
      </c>
      <c r="D32" t="s">
        <v>6</v>
      </c>
      <c r="E32" t="s">
        <v>6</v>
      </c>
      <c r="G32" t="b">
        <v>0</v>
      </c>
      <c r="H32" t="b">
        <v>0</v>
      </c>
    </row>
    <row r="33" spans="1:8" x14ac:dyDescent="0.3">
      <c r="A33" t="s">
        <v>37</v>
      </c>
      <c r="B33">
        <v>110</v>
      </c>
      <c r="C33" t="s">
        <v>6</v>
      </c>
      <c r="D33" t="s">
        <v>6</v>
      </c>
      <c r="E33" t="s">
        <v>6</v>
      </c>
      <c r="G33" t="b">
        <v>0</v>
      </c>
      <c r="H33" t="b">
        <v>0</v>
      </c>
    </row>
    <row r="34" spans="1:8" x14ac:dyDescent="0.3">
      <c r="A34" t="s">
        <v>38</v>
      </c>
      <c r="B34">
        <v>115</v>
      </c>
      <c r="C34" t="s">
        <v>6</v>
      </c>
      <c r="D34" t="s">
        <v>6</v>
      </c>
      <c r="E34" t="s">
        <v>6</v>
      </c>
      <c r="G34" t="b">
        <v>0</v>
      </c>
      <c r="H34" t="b">
        <v>0</v>
      </c>
    </row>
    <row r="35" spans="1:8" x14ac:dyDescent="0.3">
      <c r="A35" t="s">
        <v>39</v>
      </c>
      <c r="B35">
        <v>150</v>
      </c>
      <c r="C35" t="s">
        <v>6</v>
      </c>
      <c r="D35" t="s">
        <v>6</v>
      </c>
      <c r="E35" t="s">
        <v>6</v>
      </c>
      <c r="G35" t="b">
        <v>0</v>
      </c>
      <c r="H35" t="b">
        <v>0</v>
      </c>
    </row>
    <row r="36" spans="1:8" x14ac:dyDescent="0.3">
      <c r="A36" t="s">
        <v>40</v>
      </c>
      <c r="B36">
        <v>100</v>
      </c>
      <c r="C36" t="s">
        <v>6</v>
      </c>
      <c r="D36" t="s">
        <v>6</v>
      </c>
      <c r="E36" t="s">
        <v>6</v>
      </c>
      <c r="G36" t="b">
        <v>0</v>
      </c>
      <c r="H36" t="b">
        <v>0</v>
      </c>
    </row>
    <row r="37" spans="1:8" x14ac:dyDescent="0.3">
      <c r="A37" t="s">
        <v>41</v>
      </c>
      <c r="B37">
        <v>30</v>
      </c>
      <c r="C37" t="s">
        <v>6</v>
      </c>
      <c r="D37" t="s">
        <v>6</v>
      </c>
      <c r="E37" t="s">
        <v>6</v>
      </c>
      <c r="G37" t="b">
        <v>0</v>
      </c>
      <c r="H37" t="b">
        <v>0</v>
      </c>
    </row>
    <row r="38" spans="1:8" x14ac:dyDescent="0.3">
      <c r="A38" t="s">
        <v>42</v>
      </c>
      <c r="B38">
        <v>115</v>
      </c>
      <c r="C38" t="s">
        <v>6</v>
      </c>
      <c r="D38" t="s">
        <v>6</v>
      </c>
      <c r="E38" t="s">
        <v>6</v>
      </c>
      <c r="G38" t="b">
        <v>0</v>
      </c>
      <c r="H38" t="b">
        <v>0</v>
      </c>
    </row>
    <row r="39" spans="1:8" x14ac:dyDescent="0.3">
      <c r="A39" t="s">
        <v>43</v>
      </c>
      <c r="B39">
        <v>240</v>
      </c>
      <c r="C39" t="s">
        <v>6</v>
      </c>
      <c r="D39" t="s">
        <v>6</v>
      </c>
      <c r="E39" t="s">
        <v>6</v>
      </c>
      <c r="G39" t="b">
        <v>0</v>
      </c>
      <c r="H39" t="b">
        <v>0</v>
      </c>
    </row>
    <row r="40" spans="1:8" x14ac:dyDescent="0.3">
      <c r="A40" t="s">
        <v>44</v>
      </c>
      <c r="B40">
        <v>350</v>
      </c>
      <c r="C40" t="s">
        <v>6</v>
      </c>
      <c r="D40" t="s">
        <v>6</v>
      </c>
      <c r="E40" t="s">
        <v>6</v>
      </c>
      <c r="G40" t="b">
        <v>0</v>
      </c>
      <c r="H40" t="b">
        <v>0</v>
      </c>
    </row>
    <row r="41" spans="1:8" x14ac:dyDescent="0.3">
      <c r="A41" t="s">
        <v>45</v>
      </c>
      <c r="B41">
        <v>140</v>
      </c>
      <c r="C41" t="s">
        <v>6</v>
      </c>
      <c r="D41" t="s">
        <v>6</v>
      </c>
      <c r="E41" t="s">
        <v>6</v>
      </c>
      <c r="G41" t="b">
        <v>0</v>
      </c>
      <c r="H41" t="b">
        <v>0</v>
      </c>
    </row>
    <row r="42" spans="1:8" x14ac:dyDescent="0.3">
      <c r="A42" t="s">
        <v>46</v>
      </c>
      <c r="B42">
        <v>140</v>
      </c>
      <c r="C42" t="s">
        <v>6</v>
      </c>
      <c r="D42" t="s">
        <v>6</v>
      </c>
      <c r="E42" t="s">
        <v>6</v>
      </c>
      <c r="G42" t="b">
        <v>0</v>
      </c>
      <c r="H42" t="b">
        <v>0</v>
      </c>
    </row>
    <row r="43" spans="1:8" x14ac:dyDescent="0.3">
      <c r="A43" t="s">
        <v>47</v>
      </c>
      <c r="B43">
        <v>350</v>
      </c>
      <c r="C43" t="s">
        <v>6</v>
      </c>
      <c r="D43" t="s">
        <v>6</v>
      </c>
      <c r="E43" t="s">
        <v>6</v>
      </c>
      <c r="G43" t="b">
        <v>0</v>
      </c>
      <c r="H43" t="b">
        <v>0</v>
      </c>
    </row>
    <row r="44" spans="1:8" x14ac:dyDescent="0.3">
      <c r="A44" t="s">
        <v>48</v>
      </c>
      <c r="B44">
        <v>350</v>
      </c>
      <c r="C44" t="s">
        <v>6</v>
      </c>
      <c r="D44" t="s">
        <v>6</v>
      </c>
      <c r="E44" t="s">
        <v>6</v>
      </c>
      <c r="G44" t="b">
        <v>0</v>
      </c>
      <c r="H44" t="b">
        <v>0</v>
      </c>
    </row>
    <row r="45" spans="1:8" x14ac:dyDescent="0.3">
      <c r="A45" t="s">
        <v>49</v>
      </c>
      <c r="B45">
        <v>165</v>
      </c>
      <c r="C45" t="s">
        <v>6</v>
      </c>
      <c r="D45" t="s">
        <v>6</v>
      </c>
      <c r="E45" t="s">
        <v>6</v>
      </c>
      <c r="G45" t="b">
        <v>0</v>
      </c>
      <c r="H45" t="b">
        <v>0</v>
      </c>
    </row>
    <row r="46" spans="1:8" x14ac:dyDescent="0.3">
      <c r="A46" t="s">
        <v>50</v>
      </c>
      <c r="B46">
        <v>165</v>
      </c>
      <c r="C46" t="s">
        <v>6</v>
      </c>
      <c r="D46" t="s">
        <v>6</v>
      </c>
      <c r="E46" t="s">
        <v>6</v>
      </c>
      <c r="G46" t="b">
        <v>0</v>
      </c>
      <c r="H46" t="b">
        <v>0</v>
      </c>
    </row>
    <row r="47" spans="1:8" x14ac:dyDescent="0.3">
      <c r="A47" t="s">
        <v>51</v>
      </c>
      <c r="B47">
        <v>290</v>
      </c>
      <c r="C47" t="s">
        <v>6</v>
      </c>
      <c r="D47" t="s">
        <v>6</v>
      </c>
      <c r="E47" t="s">
        <v>6</v>
      </c>
      <c r="G47" t="b">
        <v>0</v>
      </c>
      <c r="H47" t="b">
        <v>0</v>
      </c>
    </row>
    <row r="48" spans="1:8" x14ac:dyDescent="0.3">
      <c r="A48" t="s">
        <v>52</v>
      </c>
      <c r="B48">
        <v>290</v>
      </c>
      <c r="C48" t="s">
        <v>6</v>
      </c>
      <c r="D48" t="s">
        <v>6</v>
      </c>
      <c r="E48" t="s">
        <v>6</v>
      </c>
      <c r="G48" t="b">
        <v>0</v>
      </c>
      <c r="H48" t="b">
        <v>0</v>
      </c>
    </row>
    <row r="49" spans="1:8" x14ac:dyDescent="0.3">
      <c r="A49" t="s">
        <v>53</v>
      </c>
      <c r="B49">
        <v>290</v>
      </c>
      <c r="C49" t="s">
        <v>6</v>
      </c>
      <c r="D49" t="s">
        <v>6</v>
      </c>
      <c r="E49" t="s">
        <v>6</v>
      </c>
      <c r="G49" t="b">
        <v>0</v>
      </c>
      <c r="H49" t="b">
        <v>0</v>
      </c>
    </row>
    <row r="50" spans="1:8" x14ac:dyDescent="0.3">
      <c r="A50" t="s">
        <v>54</v>
      </c>
      <c r="B50">
        <v>112</v>
      </c>
      <c r="C50" t="s">
        <v>6</v>
      </c>
      <c r="D50" t="s">
        <v>6</v>
      </c>
      <c r="E50" t="s">
        <v>6</v>
      </c>
      <c r="G50" t="b">
        <v>0</v>
      </c>
      <c r="H50" t="b">
        <v>0</v>
      </c>
    </row>
    <row r="51" spans="1:8" x14ac:dyDescent="0.3">
      <c r="A51" t="s">
        <v>55</v>
      </c>
      <c r="B51">
        <v>552</v>
      </c>
      <c r="C51" t="s">
        <v>6</v>
      </c>
      <c r="D51" t="s">
        <v>6</v>
      </c>
      <c r="E51" t="s">
        <v>6</v>
      </c>
      <c r="G51" t="b">
        <v>0</v>
      </c>
      <c r="H51" t="b">
        <v>0</v>
      </c>
    </row>
    <row r="52" spans="1:8" x14ac:dyDescent="0.3">
      <c r="A52" t="s">
        <v>56</v>
      </c>
      <c r="B52">
        <v>500</v>
      </c>
      <c r="C52" t="s">
        <v>6</v>
      </c>
      <c r="D52" t="s">
        <v>6</v>
      </c>
      <c r="E52" t="s">
        <v>6</v>
      </c>
      <c r="G52" t="b">
        <v>0</v>
      </c>
      <c r="H52" t="b">
        <v>0</v>
      </c>
    </row>
    <row r="53" spans="1:8" x14ac:dyDescent="0.3">
      <c r="A53" t="s">
        <v>57</v>
      </c>
      <c r="B53">
        <v>500</v>
      </c>
      <c r="C53" t="s">
        <v>6</v>
      </c>
      <c r="D53" t="s">
        <v>6</v>
      </c>
      <c r="E53" t="s">
        <v>6</v>
      </c>
      <c r="G53" t="b">
        <v>0</v>
      </c>
      <c r="H53" t="b">
        <v>0</v>
      </c>
    </row>
    <row r="54" spans="1:8" x14ac:dyDescent="0.3">
      <c r="A54" t="s">
        <v>58</v>
      </c>
      <c r="B54">
        <v>500</v>
      </c>
      <c r="C54" t="s">
        <v>6</v>
      </c>
      <c r="D54" t="s">
        <v>6</v>
      </c>
      <c r="E54" t="s">
        <v>6</v>
      </c>
      <c r="G54" t="b">
        <v>0</v>
      </c>
      <c r="H54" t="b">
        <v>0</v>
      </c>
    </row>
    <row r="55" spans="1:8" x14ac:dyDescent="0.3">
      <c r="A55" t="s">
        <v>59</v>
      </c>
      <c r="B55">
        <v>170</v>
      </c>
      <c r="C55" t="s">
        <v>6</v>
      </c>
      <c r="D55" t="s">
        <v>6</v>
      </c>
      <c r="E55" t="s">
        <v>6</v>
      </c>
      <c r="G55" t="b">
        <v>0</v>
      </c>
      <c r="H55" t="b">
        <v>0</v>
      </c>
    </row>
    <row r="56" spans="1:8" x14ac:dyDescent="0.3">
      <c r="A56" t="s">
        <v>60</v>
      </c>
      <c r="B56">
        <v>500</v>
      </c>
      <c r="C56" t="s">
        <v>6</v>
      </c>
      <c r="D56" t="s">
        <v>6</v>
      </c>
      <c r="E56" t="s">
        <v>6</v>
      </c>
      <c r="G56" t="b">
        <v>0</v>
      </c>
      <c r="H56" t="b">
        <v>0</v>
      </c>
    </row>
    <row r="57" spans="1:8" x14ac:dyDescent="0.3">
      <c r="A57" t="s">
        <v>61</v>
      </c>
      <c r="B57">
        <v>250</v>
      </c>
      <c r="C57" t="s">
        <v>6</v>
      </c>
      <c r="D57" t="s">
        <v>6</v>
      </c>
      <c r="E57" t="s">
        <v>6</v>
      </c>
      <c r="G57" t="b">
        <v>0</v>
      </c>
      <c r="H57" t="b">
        <v>0</v>
      </c>
    </row>
    <row r="58" spans="1:8" x14ac:dyDescent="0.3">
      <c r="A58" t="s">
        <v>62</v>
      </c>
      <c r="B58">
        <v>240</v>
      </c>
      <c r="C58" t="s">
        <v>6</v>
      </c>
      <c r="D58" t="s">
        <v>6</v>
      </c>
      <c r="E58" t="s">
        <v>6</v>
      </c>
      <c r="G58" t="b">
        <v>0</v>
      </c>
      <c r="H58" t="b">
        <v>0</v>
      </c>
    </row>
    <row r="59" spans="1:8" x14ac:dyDescent="0.3">
      <c r="A59" t="s">
        <v>63</v>
      </c>
      <c r="B59">
        <v>130</v>
      </c>
      <c r="C59" t="s">
        <v>6</v>
      </c>
      <c r="D59" t="s">
        <v>6</v>
      </c>
      <c r="E59" t="s">
        <v>6</v>
      </c>
      <c r="G59" t="b">
        <v>0</v>
      </c>
      <c r="H59" t="b">
        <v>0</v>
      </c>
    </row>
    <row r="60" spans="1:8" x14ac:dyDescent="0.3">
      <c r="A60" t="s">
        <v>64</v>
      </c>
      <c r="B60">
        <v>600</v>
      </c>
      <c r="C60" t="s">
        <v>6</v>
      </c>
      <c r="D60" t="s">
        <v>6</v>
      </c>
      <c r="E60" t="s">
        <v>6</v>
      </c>
      <c r="G60" t="b">
        <v>0</v>
      </c>
      <c r="H60" t="b">
        <v>0</v>
      </c>
    </row>
    <row r="61" spans="1:8" x14ac:dyDescent="0.3">
      <c r="A61" t="s">
        <v>65</v>
      </c>
      <c r="B61">
        <v>600</v>
      </c>
      <c r="C61" t="s">
        <v>6</v>
      </c>
      <c r="D61" t="s">
        <v>6</v>
      </c>
      <c r="E61" t="s">
        <v>6</v>
      </c>
      <c r="G61" t="b">
        <v>0</v>
      </c>
      <c r="H61" t="b">
        <v>0</v>
      </c>
    </row>
    <row r="62" spans="1:8" x14ac:dyDescent="0.3">
      <c r="A62" t="s">
        <v>66</v>
      </c>
      <c r="B62">
        <v>210</v>
      </c>
      <c r="C62" t="s">
        <v>6</v>
      </c>
      <c r="D62" t="s">
        <v>6</v>
      </c>
      <c r="E62" t="s">
        <v>6</v>
      </c>
      <c r="G62" t="b">
        <v>0</v>
      </c>
      <c r="H62" t="b">
        <v>0</v>
      </c>
    </row>
    <row r="63" spans="1:8" x14ac:dyDescent="0.3">
      <c r="A63" t="s">
        <v>67</v>
      </c>
      <c r="B63">
        <v>210</v>
      </c>
      <c r="C63" t="s">
        <v>6</v>
      </c>
      <c r="D63" t="s">
        <v>6</v>
      </c>
      <c r="E63" t="s">
        <v>6</v>
      </c>
      <c r="G63" t="b">
        <v>0</v>
      </c>
      <c r="H63" t="b">
        <v>0</v>
      </c>
    </row>
    <row r="64" spans="1:8" x14ac:dyDescent="0.3">
      <c r="A64" t="s">
        <v>68</v>
      </c>
      <c r="B64">
        <v>210</v>
      </c>
      <c r="C64" t="s">
        <v>6</v>
      </c>
      <c r="D64" t="s">
        <v>6</v>
      </c>
      <c r="E64" t="s">
        <v>6</v>
      </c>
      <c r="G64" t="b">
        <v>0</v>
      </c>
      <c r="H64" t="b">
        <v>0</v>
      </c>
    </row>
    <row r="65" spans="1:8" x14ac:dyDescent="0.3">
      <c r="A65" t="s">
        <v>69</v>
      </c>
      <c r="B65">
        <v>300</v>
      </c>
      <c r="C65" t="s">
        <v>6</v>
      </c>
      <c r="D65" t="s">
        <v>6</v>
      </c>
      <c r="E65" t="s">
        <v>6</v>
      </c>
      <c r="G65" t="b">
        <v>0</v>
      </c>
      <c r="H65" t="b">
        <v>0</v>
      </c>
    </row>
    <row r="66" spans="1:8" x14ac:dyDescent="0.3">
      <c r="A66" t="s">
        <v>70</v>
      </c>
      <c r="B66">
        <v>10</v>
      </c>
      <c r="C66" t="s">
        <v>6</v>
      </c>
      <c r="D66" t="s">
        <v>6</v>
      </c>
      <c r="E66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A92DA-9FB1-482C-A2B2-8927872F610D}">
  <sheetPr codeName="Sheet4"/>
  <dimension ref="A1:E109"/>
  <sheetViews>
    <sheetView workbookViewId="0">
      <selection activeCell="F8" sqref="F8"/>
    </sheetView>
  </sheetViews>
  <sheetFormatPr defaultRowHeight="14.4" x14ac:dyDescent="0.3"/>
  <cols>
    <col min="1" max="1" width="20.21875" bestFit="1" customWidth="1"/>
    <col min="2" max="2" width="18.6640625" bestFit="1" customWidth="1"/>
    <col min="3" max="3" width="17.109375" customWidth="1"/>
    <col min="4" max="4" width="30.33203125" customWidth="1"/>
    <col min="5" max="5" width="24.33203125" customWidth="1"/>
  </cols>
  <sheetData>
    <row r="1" spans="1:5" x14ac:dyDescent="0.3">
      <c r="A1" t="s">
        <v>71</v>
      </c>
      <c r="B1" t="s">
        <v>72</v>
      </c>
      <c r="C1" t="s">
        <v>111</v>
      </c>
      <c r="D1" t="s">
        <v>112</v>
      </c>
      <c r="E1" t="s">
        <v>113</v>
      </c>
    </row>
    <row r="2" spans="1:5" x14ac:dyDescent="0.3">
      <c r="A2">
        <v>121003</v>
      </c>
      <c r="B2">
        <v>507101</v>
      </c>
      <c r="C2" t="s">
        <v>74</v>
      </c>
      <c r="D2" t="str">
        <f>_xlfn.XLOOKUP(pincodes[[#This Row],[Customer Pincode]],Invoice[Customer Pincode],Invoice[Zone])</f>
        <v>d</v>
      </c>
      <c r="E2" t="str">
        <f>IF(pincodes[[#This Row],[ ABC Zone]]=pincodes[[#This Row],[Courier Zone]],"matched","not matched")</f>
        <v>matched</v>
      </c>
    </row>
    <row r="3" spans="1:5" x14ac:dyDescent="0.3">
      <c r="A3">
        <v>121003</v>
      </c>
      <c r="B3">
        <v>486886</v>
      </c>
      <c r="C3" t="s">
        <v>74</v>
      </c>
      <c r="D3" t="str">
        <f>_xlfn.XLOOKUP(pincodes[[#This Row],[Customer Pincode]],Invoice[Customer Pincode],Invoice[Zone])</f>
        <v>d</v>
      </c>
      <c r="E3" t="str">
        <f>IF(pincodes[[#This Row],[ ABC Zone]]=pincodes[[#This Row],[Courier Zone]],"matched","not matched")</f>
        <v>matched</v>
      </c>
    </row>
    <row r="4" spans="1:5" x14ac:dyDescent="0.3">
      <c r="A4">
        <v>121003</v>
      </c>
      <c r="B4">
        <v>532484</v>
      </c>
      <c r="C4" t="s">
        <v>74</v>
      </c>
      <c r="D4" t="str">
        <f>_xlfn.XLOOKUP(pincodes[[#This Row],[Customer Pincode]],Invoice[Customer Pincode],Invoice[Zone])</f>
        <v>d</v>
      </c>
      <c r="E4" t="str">
        <f>IF(pincodes[[#This Row],[ ABC Zone]]=pincodes[[#This Row],[Courier Zone]],"matched","not matched")</f>
        <v>matched</v>
      </c>
    </row>
    <row r="5" spans="1:5" x14ac:dyDescent="0.3">
      <c r="A5">
        <v>121003</v>
      </c>
      <c r="B5">
        <v>143001</v>
      </c>
      <c r="C5" t="s">
        <v>75</v>
      </c>
      <c r="D5" t="str">
        <f>_xlfn.XLOOKUP(pincodes[[#This Row],[Customer Pincode]],Invoice[Customer Pincode],Invoice[Zone])</f>
        <v>b</v>
      </c>
      <c r="E5" t="str">
        <f>IF(pincodes[[#This Row],[ ABC Zone]]=pincodes[[#This Row],[Courier Zone]],"matched","not matched")</f>
        <v>matched</v>
      </c>
    </row>
    <row r="6" spans="1:5" x14ac:dyDescent="0.3">
      <c r="A6">
        <v>121003</v>
      </c>
      <c r="B6">
        <v>515591</v>
      </c>
      <c r="C6" t="s">
        <v>74</v>
      </c>
      <c r="D6" t="str">
        <f>_xlfn.XLOOKUP(pincodes[[#This Row],[Customer Pincode]],Invoice[Customer Pincode],Invoice[Zone])</f>
        <v>d</v>
      </c>
      <c r="E6" t="str">
        <f>IF(pincodes[[#This Row],[ ABC Zone]]=pincodes[[#This Row],[Courier Zone]],"matched","not matched")</f>
        <v>matched</v>
      </c>
    </row>
    <row r="7" spans="1:5" x14ac:dyDescent="0.3">
      <c r="A7">
        <v>121003</v>
      </c>
      <c r="B7">
        <v>326502</v>
      </c>
      <c r="C7" t="s">
        <v>74</v>
      </c>
      <c r="D7" t="str">
        <f>_xlfn.XLOOKUP(pincodes[[#This Row],[Customer Pincode]],Invoice[Customer Pincode],Invoice[Zone])</f>
        <v>d</v>
      </c>
      <c r="E7" t="str">
        <f>IF(pincodes[[#This Row],[ ABC Zone]]=pincodes[[#This Row],[Courier Zone]],"matched","not matched")</f>
        <v>matched</v>
      </c>
    </row>
    <row r="8" spans="1:5" x14ac:dyDescent="0.3">
      <c r="A8">
        <v>121003</v>
      </c>
      <c r="B8">
        <v>208019</v>
      </c>
      <c r="C8" t="s">
        <v>75</v>
      </c>
      <c r="D8" t="str">
        <f>_xlfn.XLOOKUP(pincodes[[#This Row],[Customer Pincode]],Invoice[Customer Pincode],Invoice[Zone])</f>
        <v>b</v>
      </c>
      <c r="E8" t="str">
        <f>IF(pincodes[[#This Row],[ ABC Zone]]=pincodes[[#This Row],[Courier Zone]],"matched","not matched")</f>
        <v>matched</v>
      </c>
    </row>
    <row r="9" spans="1:5" x14ac:dyDescent="0.3">
      <c r="A9">
        <v>121003</v>
      </c>
      <c r="B9">
        <v>140301</v>
      </c>
      <c r="C9" t="s">
        <v>75</v>
      </c>
      <c r="D9" t="str">
        <f>_xlfn.XLOOKUP(pincodes[[#This Row],[Customer Pincode]],Invoice[Customer Pincode],Invoice[Zone])</f>
        <v>b</v>
      </c>
      <c r="E9" t="str">
        <f>IF(pincodes[[#This Row],[ ABC Zone]]=pincodes[[#This Row],[Courier Zone]],"matched","not matched")</f>
        <v>matched</v>
      </c>
    </row>
    <row r="10" spans="1:5" x14ac:dyDescent="0.3">
      <c r="A10">
        <v>121003</v>
      </c>
      <c r="B10">
        <v>396001</v>
      </c>
      <c r="C10" t="s">
        <v>74</v>
      </c>
      <c r="D10" t="str">
        <f>_xlfn.XLOOKUP(pincodes[[#This Row],[Customer Pincode]],Invoice[Customer Pincode],Invoice[Zone])</f>
        <v>d</v>
      </c>
      <c r="E10" t="str">
        <f>IF(pincodes[[#This Row],[ ABC Zone]]=pincodes[[#This Row],[Courier Zone]],"matched","not matched")</f>
        <v>matched</v>
      </c>
    </row>
    <row r="11" spans="1:5" x14ac:dyDescent="0.3">
      <c r="A11">
        <v>121003</v>
      </c>
      <c r="B11">
        <v>711106</v>
      </c>
      <c r="C11" t="s">
        <v>74</v>
      </c>
      <c r="D11" t="str">
        <f>_xlfn.XLOOKUP(pincodes[[#This Row],[Customer Pincode]],Invoice[Customer Pincode],Invoice[Zone])</f>
        <v>d</v>
      </c>
      <c r="E11" t="str">
        <f>IF(pincodes[[#This Row],[ ABC Zone]]=pincodes[[#This Row],[Courier Zone]],"matched","not matched")</f>
        <v>matched</v>
      </c>
    </row>
    <row r="12" spans="1:5" x14ac:dyDescent="0.3">
      <c r="A12">
        <v>121003</v>
      </c>
      <c r="B12">
        <v>284001</v>
      </c>
      <c r="C12" t="s">
        <v>75</v>
      </c>
      <c r="D12" t="str">
        <f>_xlfn.XLOOKUP(pincodes[[#This Row],[Customer Pincode]],Invoice[Customer Pincode],Invoice[Zone])</f>
        <v>b</v>
      </c>
      <c r="E12" t="str">
        <f>IF(pincodes[[#This Row],[ ABC Zone]]=pincodes[[#This Row],[Courier Zone]],"matched","not matched")</f>
        <v>matched</v>
      </c>
    </row>
    <row r="13" spans="1:5" x14ac:dyDescent="0.3">
      <c r="A13">
        <v>121003</v>
      </c>
      <c r="B13">
        <v>441601</v>
      </c>
      <c r="C13" t="s">
        <v>74</v>
      </c>
      <c r="D13" t="str">
        <f>_xlfn.XLOOKUP(pincodes[[#This Row],[Customer Pincode]],Invoice[Customer Pincode],Invoice[Zone])</f>
        <v>d</v>
      </c>
      <c r="E13" t="str">
        <f>IF(pincodes[[#This Row],[ ABC Zone]]=pincodes[[#This Row],[Courier Zone]],"matched","not matched")</f>
        <v>matched</v>
      </c>
    </row>
    <row r="14" spans="1:5" x14ac:dyDescent="0.3">
      <c r="A14">
        <v>121003</v>
      </c>
      <c r="B14">
        <v>248006</v>
      </c>
      <c r="C14" t="s">
        <v>75</v>
      </c>
      <c r="D14" t="str">
        <f>_xlfn.XLOOKUP(pincodes[[#This Row],[Customer Pincode]],Invoice[Customer Pincode],Invoice[Zone])</f>
        <v>b</v>
      </c>
      <c r="E14" t="str">
        <f>IF(pincodes[[#This Row],[ ABC Zone]]=pincodes[[#This Row],[Courier Zone]],"matched","not matched")</f>
        <v>matched</v>
      </c>
    </row>
    <row r="15" spans="1:5" x14ac:dyDescent="0.3">
      <c r="A15">
        <v>121003</v>
      </c>
      <c r="B15">
        <v>485001</v>
      </c>
      <c r="C15" t="s">
        <v>74</v>
      </c>
      <c r="D15" t="str">
        <f>_xlfn.XLOOKUP(pincodes[[#This Row],[Customer Pincode]],Invoice[Customer Pincode],Invoice[Zone])</f>
        <v>d</v>
      </c>
      <c r="E15" t="str">
        <f>IF(pincodes[[#This Row],[ ABC Zone]]=pincodes[[#This Row],[Courier Zone]],"matched","not matched")</f>
        <v>matched</v>
      </c>
    </row>
    <row r="16" spans="1:5" x14ac:dyDescent="0.3">
      <c r="A16">
        <v>121003</v>
      </c>
      <c r="B16">
        <v>845438</v>
      </c>
      <c r="C16" t="s">
        <v>74</v>
      </c>
      <c r="D16" t="str">
        <f>_xlfn.XLOOKUP(pincodes[[#This Row],[Customer Pincode]],Invoice[Customer Pincode],Invoice[Zone])</f>
        <v>d</v>
      </c>
      <c r="E16" t="str">
        <f>IF(pincodes[[#This Row],[ ABC Zone]]=pincodes[[#This Row],[Courier Zone]],"matched","not matched")</f>
        <v>matched</v>
      </c>
    </row>
    <row r="17" spans="1:5" x14ac:dyDescent="0.3">
      <c r="A17">
        <v>121003</v>
      </c>
      <c r="B17">
        <v>463106</v>
      </c>
      <c r="C17" t="s">
        <v>74</v>
      </c>
      <c r="D17" t="str">
        <f>_xlfn.XLOOKUP(pincodes[[#This Row],[Customer Pincode]],Invoice[Customer Pincode],Invoice[Zone])</f>
        <v>d</v>
      </c>
      <c r="E17" t="str">
        <f>IF(pincodes[[#This Row],[ ABC Zone]]=pincodes[[#This Row],[Courier Zone]],"matched","not matched")</f>
        <v>matched</v>
      </c>
    </row>
    <row r="18" spans="1:5" x14ac:dyDescent="0.3">
      <c r="A18">
        <v>121003</v>
      </c>
      <c r="B18">
        <v>495671</v>
      </c>
      <c r="C18" t="s">
        <v>74</v>
      </c>
      <c r="D18" t="str">
        <f>_xlfn.XLOOKUP(pincodes[[#This Row],[Customer Pincode]],Invoice[Customer Pincode],Invoice[Zone])</f>
        <v>d</v>
      </c>
      <c r="E18" t="str">
        <f>IF(pincodes[[#This Row],[ ABC Zone]]=pincodes[[#This Row],[Courier Zone]],"matched","not matched")</f>
        <v>matched</v>
      </c>
    </row>
    <row r="19" spans="1:5" x14ac:dyDescent="0.3">
      <c r="A19">
        <v>121003</v>
      </c>
      <c r="B19">
        <v>673002</v>
      </c>
      <c r="C19" t="s">
        <v>76</v>
      </c>
      <c r="D19" t="str">
        <f>_xlfn.XLOOKUP(pincodes[[#This Row],[Customer Pincode]],Invoice[Customer Pincode],Invoice[Zone])</f>
        <v>e</v>
      </c>
      <c r="E19" t="str">
        <f>IF(pincodes[[#This Row],[ ABC Zone]]=pincodes[[#This Row],[Courier Zone]],"matched","not matched")</f>
        <v>matched</v>
      </c>
    </row>
    <row r="20" spans="1:5" x14ac:dyDescent="0.3">
      <c r="A20">
        <v>121003</v>
      </c>
      <c r="B20">
        <v>208002</v>
      </c>
      <c r="C20" t="s">
        <v>75</v>
      </c>
      <c r="D20" t="str">
        <f>_xlfn.XLOOKUP(pincodes[[#This Row],[Customer Pincode]],Invoice[Customer Pincode],Invoice[Zone])</f>
        <v>b</v>
      </c>
      <c r="E20" t="str">
        <f>IF(pincodes[[#This Row],[ ABC Zone]]=pincodes[[#This Row],[Courier Zone]],"matched","not matched")</f>
        <v>matched</v>
      </c>
    </row>
    <row r="21" spans="1:5" x14ac:dyDescent="0.3">
      <c r="A21">
        <v>121003</v>
      </c>
      <c r="B21">
        <v>416010</v>
      </c>
      <c r="C21" t="s">
        <v>74</v>
      </c>
      <c r="D21" t="str">
        <f>_xlfn.XLOOKUP(pincodes[[#This Row],[Customer Pincode]],Invoice[Customer Pincode],Invoice[Zone])</f>
        <v>d</v>
      </c>
      <c r="E21" t="str">
        <f>IF(pincodes[[#This Row],[ ABC Zone]]=pincodes[[#This Row],[Courier Zone]],"matched","not matched")</f>
        <v>matched</v>
      </c>
    </row>
    <row r="22" spans="1:5" x14ac:dyDescent="0.3">
      <c r="A22">
        <v>121003</v>
      </c>
      <c r="B22">
        <v>226010</v>
      </c>
      <c r="C22" t="s">
        <v>75</v>
      </c>
      <c r="D22" t="str">
        <f>_xlfn.XLOOKUP(pincodes[[#This Row],[Customer Pincode]],Invoice[Customer Pincode],Invoice[Zone])</f>
        <v>b</v>
      </c>
      <c r="E22" t="str">
        <f>IF(pincodes[[#This Row],[ ABC Zone]]=pincodes[[#This Row],[Courier Zone]],"matched","not matched")</f>
        <v>matched</v>
      </c>
    </row>
    <row r="23" spans="1:5" x14ac:dyDescent="0.3">
      <c r="A23">
        <v>121003</v>
      </c>
      <c r="B23">
        <v>400705</v>
      </c>
      <c r="C23" t="s">
        <v>74</v>
      </c>
      <c r="D23" t="str">
        <f>_xlfn.XLOOKUP(pincodes[[#This Row],[Customer Pincode]],Invoice[Customer Pincode],Invoice[Zone])</f>
        <v>d</v>
      </c>
      <c r="E23" t="str">
        <f>IF(pincodes[[#This Row],[ ABC Zone]]=pincodes[[#This Row],[Courier Zone]],"matched","not matched")</f>
        <v>matched</v>
      </c>
    </row>
    <row r="24" spans="1:5" x14ac:dyDescent="0.3">
      <c r="A24">
        <v>121003</v>
      </c>
      <c r="B24">
        <v>262405</v>
      </c>
      <c r="C24" t="s">
        <v>75</v>
      </c>
      <c r="D24" t="str">
        <f>_xlfn.XLOOKUP(pincodes[[#This Row],[Customer Pincode]],Invoice[Customer Pincode],Invoice[Zone])</f>
        <v>b</v>
      </c>
      <c r="E24" t="str">
        <f>IF(pincodes[[#This Row],[ ABC Zone]]=pincodes[[#This Row],[Courier Zone]],"matched","not matched")</f>
        <v>matched</v>
      </c>
    </row>
    <row r="25" spans="1:5" x14ac:dyDescent="0.3">
      <c r="A25">
        <v>121003</v>
      </c>
      <c r="B25">
        <v>394210</v>
      </c>
      <c r="C25" t="s">
        <v>74</v>
      </c>
      <c r="D25" t="str">
        <f>_xlfn.XLOOKUP(pincodes[[#This Row],[Customer Pincode]],Invoice[Customer Pincode],Invoice[Zone])</f>
        <v>d</v>
      </c>
      <c r="E25" t="str">
        <f>IF(pincodes[[#This Row],[ ABC Zone]]=pincodes[[#This Row],[Courier Zone]],"matched","not matched")</f>
        <v>matched</v>
      </c>
    </row>
    <row r="26" spans="1:5" x14ac:dyDescent="0.3">
      <c r="A26">
        <v>121003</v>
      </c>
      <c r="B26">
        <v>411014</v>
      </c>
      <c r="C26" t="s">
        <v>74</v>
      </c>
      <c r="D26" t="str">
        <f>_xlfn.XLOOKUP(pincodes[[#This Row],[Customer Pincode]],Invoice[Customer Pincode],Invoice[Zone])</f>
        <v>d</v>
      </c>
      <c r="E26" t="str">
        <f>IF(pincodes[[#This Row],[ ABC Zone]]=pincodes[[#This Row],[Courier Zone]],"matched","not matched")</f>
        <v>matched</v>
      </c>
    </row>
    <row r="27" spans="1:5" x14ac:dyDescent="0.3">
      <c r="A27">
        <v>121003</v>
      </c>
      <c r="B27">
        <v>783301</v>
      </c>
      <c r="C27" t="s">
        <v>76</v>
      </c>
      <c r="D27" t="str">
        <f>_xlfn.XLOOKUP(pincodes[[#This Row],[Customer Pincode]],Invoice[Customer Pincode],Invoice[Zone])</f>
        <v>e</v>
      </c>
      <c r="E27" t="str">
        <f>IF(pincodes[[#This Row],[ ABC Zone]]=pincodes[[#This Row],[Courier Zone]],"matched","not matched")</f>
        <v>matched</v>
      </c>
    </row>
    <row r="28" spans="1:5" x14ac:dyDescent="0.3">
      <c r="A28">
        <v>121003</v>
      </c>
      <c r="B28">
        <v>486661</v>
      </c>
      <c r="C28" t="s">
        <v>74</v>
      </c>
      <c r="D28" t="str">
        <f>_xlfn.XLOOKUP(pincodes[[#This Row],[Customer Pincode]],Invoice[Customer Pincode],Invoice[Zone])</f>
        <v>d</v>
      </c>
      <c r="E28" t="str">
        <f>IF(pincodes[[#This Row],[ ABC Zone]]=pincodes[[#This Row],[Courier Zone]],"matched","not matched")</f>
        <v>matched</v>
      </c>
    </row>
    <row r="29" spans="1:5" x14ac:dyDescent="0.3">
      <c r="A29">
        <v>121003</v>
      </c>
      <c r="B29">
        <v>244001</v>
      </c>
      <c r="C29" t="s">
        <v>75</v>
      </c>
      <c r="D29" t="str">
        <f>_xlfn.XLOOKUP(pincodes[[#This Row],[Customer Pincode]],Invoice[Customer Pincode],Invoice[Zone])</f>
        <v>b</v>
      </c>
      <c r="E29" t="str">
        <f>IF(pincodes[[#This Row],[ ABC Zone]]=pincodes[[#This Row],[Courier Zone]],"matched","not matched")</f>
        <v>matched</v>
      </c>
    </row>
    <row r="30" spans="1:5" x14ac:dyDescent="0.3">
      <c r="A30">
        <v>121003</v>
      </c>
      <c r="B30">
        <v>492001</v>
      </c>
      <c r="C30" t="s">
        <v>74</v>
      </c>
      <c r="D30" t="str">
        <f>_xlfn.XLOOKUP(pincodes[[#This Row],[Customer Pincode]],Invoice[Customer Pincode],Invoice[Zone])</f>
        <v>d</v>
      </c>
      <c r="E30" t="str">
        <f>IF(pincodes[[#This Row],[ ABC Zone]]=pincodes[[#This Row],[Courier Zone]],"matched","not matched")</f>
        <v>matched</v>
      </c>
    </row>
    <row r="31" spans="1:5" x14ac:dyDescent="0.3">
      <c r="A31">
        <v>121003</v>
      </c>
      <c r="B31">
        <v>517128</v>
      </c>
      <c r="C31" t="s">
        <v>74</v>
      </c>
      <c r="D31" t="str">
        <f>_xlfn.XLOOKUP(pincodes[[#This Row],[Customer Pincode]],Invoice[Customer Pincode],Invoice[Zone])</f>
        <v>d</v>
      </c>
      <c r="E31" t="str">
        <f>IF(pincodes[[#This Row],[ ABC Zone]]=pincodes[[#This Row],[Courier Zone]],"matched","not matched")</f>
        <v>matched</v>
      </c>
    </row>
    <row r="32" spans="1:5" x14ac:dyDescent="0.3">
      <c r="A32">
        <v>121003</v>
      </c>
      <c r="B32">
        <v>562110</v>
      </c>
      <c r="C32" t="s">
        <v>74</v>
      </c>
      <c r="D32" t="str">
        <f>_xlfn.XLOOKUP(pincodes[[#This Row],[Customer Pincode]],Invoice[Customer Pincode],Invoice[Zone])</f>
        <v>d</v>
      </c>
      <c r="E32" t="str">
        <f>IF(pincodes[[#This Row],[ ABC Zone]]=pincodes[[#This Row],[Courier Zone]],"matched","not matched")</f>
        <v>matched</v>
      </c>
    </row>
    <row r="33" spans="1:5" x14ac:dyDescent="0.3">
      <c r="A33">
        <v>121003</v>
      </c>
      <c r="B33">
        <v>831006</v>
      </c>
      <c r="C33" t="s">
        <v>74</v>
      </c>
      <c r="D33" t="str">
        <f>_xlfn.XLOOKUP(pincodes[[#This Row],[Customer Pincode]],Invoice[Customer Pincode],Invoice[Zone])</f>
        <v>d</v>
      </c>
      <c r="E33" t="str">
        <f>IF(pincodes[[#This Row],[ ABC Zone]]=pincodes[[#This Row],[Courier Zone]],"matched","not matched")</f>
        <v>matched</v>
      </c>
    </row>
    <row r="34" spans="1:5" x14ac:dyDescent="0.3">
      <c r="A34">
        <v>121003</v>
      </c>
      <c r="B34">
        <v>140604</v>
      </c>
      <c r="C34" t="s">
        <v>75</v>
      </c>
      <c r="D34" t="str">
        <f>_xlfn.XLOOKUP(pincodes[[#This Row],[Customer Pincode]],Invoice[Customer Pincode],Invoice[Zone])</f>
        <v>b</v>
      </c>
      <c r="E34" t="str">
        <f>IF(pincodes[[#This Row],[ ABC Zone]]=pincodes[[#This Row],[Courier Zone]],"matched","not matched")</f>
        <v>matched</v>
      </c>
    </row>
    <row r="35" spans="1:5" x14ac:dyDescent="0.3">
      <c r="A35">
        <v>121003</v>
      </c>
      <c r="B35">
        <v>723146</v>
      </c>
      <c r="C35" t="s">
        <v>74</v>
      </c>
      <c r="D35" t="str">
        <f>_xlfn.XLOOKUP(pincodes[[#This Row],[Customer Pincode]],Invoice[Customer Pincode],Invoice[Zone])</f>
        <v>d</v>
      </c>
      <c r="E35" t="str">
        <f>IF(pincodes[[#This Row],[ ABC Zone]]=pincodes[[#This Row],[Courier Zone]],"matched","not matched")</f>
        <v>matched</v>
      </c>
    </row>
    <row r="36" spans="1:5" x14ac:dyDescent="0.3">
      <c r="A36">
        <v>121003</v>
      </c>
      <c r="B36">
        <v>421204</v>
      </c>
      <c r="C36" t="s">
        <v>74</v>
      </c>
      <c r="D36" t="str">
        <f>_xlfn.XLOOKUP(pincodes[[#This Row],[Customer Pincode]],Invoice[Customer Pincode],Invoice[Zone])</f>
        <v>d</v>
      </c>
      <c r="E36" t="str">
        <f>IF(pincodes[[#This Row],[ ABC Zone]]=pincodes[[#This Row],[Courier Zone]],"matched","not matched")</f>
        <v>matched</v>
      </c>
    </row>
    <row r="37" spans="1:5" x14ac:dyDescent="0.3">
      <c r="A37">
        <v>121003</v>
      </c>
      <c r="B37">
        <v>263139</v>
      </c>
      <c r="C37" t="s">
        <v>75</v>
      </c>
      <c r="D37" t="str">
        <f>_xlfn.XLOOKUP(pincodes[[#This Row],[Customer Pincode]],Invoice[Customer Pincode],Invoice[Zone])</f>
        <v>b</v>
      </c>
      <c r="E37" t="str">
        <f>IF(pincodes[[#This Row],[ ABC Zone]]=pincodes[[#This Row],[Courier Zone]],"matched","not matched")</f>
        <v>matched</v>
      </c>
    </row>
    <row r="38" spans="1:5" x14ac:dyDescent="0.3">
      <c r="A38">
        <v>121003</v>
      </c>
      <c r="B38">
        <v>743263</v>
      </c>
      <c r="C38" t="s">
        <v>74</v>
      </c>
      <c r="D38" t="str">
        <f>_xlfn.XLOOKUP(pincodes[[#This Row],[Customer Pincode]],Invoice[Customer Pincode],Invoice[Zone])</f>
        <v>d</v>
      </c>
      <c r="E38" t="str">
        <f>IF(pincodes[[#This Row],[ ABC Zone]]=pincodes[[#This Row],[Courier Zone]],"matched","not matched")</f>
        <v>matched</v>
      </c>
    </row>
    <row r="39" spans="1:5" x14ac:dyDescent="0.3">
      <c r="A39">
        <v>121003</v>
      </c>
      <c r="B39">
        <v>392150</v>
      </c>
      <c r="C39" t="s">
        <v>74</v>
      </c>
      <c r="D39" t="str">
        <f>_xlfn.XLOOKUP(pincodes[[#This Row],[Customer Pincode]],Invoice[Customer Pincode],Invoice[Zone])</f>
        <v>d</v>
      </c>
      <c r="E39" t="str">
        <f>IF(pincodes[[#This Row],[ ABC Zone]]=pincodes[[#This Row],[Courier Zone]],"matched","not matched")</f>
        <v>matched</v>
      </c>
    </row>
    <row r="40" spans="1:5" x14ac:dyDescent="0.3">
      <c r="A40">
        <v>121003</v>
      </c>
      <c r="B40">
        <v>382830</v>
      </c>
      <c r="C40" t="s">
        <v>74</v>
      </c>
      <c r="D40" t="str">
        <f>_xlfn.XLOOKUP(pincodes[[#This Row],[Customer Pincode]],Invoice[Customer Pincode],Invoice[Zone])</f>
        <v>d</v>
      </c>
      <c r="E40" t="str">
        <f>IF(pincodes[[#This Row],[ ABC Zone]]=pincodes[[#This Row],[Courier Zone]],"matched","not matched")</f>
        <v>matched</v>
      </c>
    </row>
    <row r="41" spans="1:5" x14ac:dyDescent="0.3">
      <c r="A41">
        <v>121003</v>
      </c>
      <c r="B41">
        <v>711303</v>
      </c>
      <c r="C41" t="s">
        <v>74</v>
      </c>
      <c r="D41" t="str">
        <f>_xlfn.XLOOKUP(pincodes[[#This Row],[Customer Pincode]],Invoice[Customer Pincode],Invoice[Zone])</f>
        <v>d</v>
      </c>
      <c r="E41" t="str">
        <f>IF(pincodes[[#This Row],[ ABC Zone]]=pincodes[[#This Row],[Courier Zone]],"matched","not matched")</f>
        <v>matched</v>
      </c>
    </row>
    <row r="42" spans="1:5" x14ac:dyDescent="0.3">
      <c r="A42">
        <v>121003</v>
      </c>
      <c r="B42">
        <v>283102</v>
      </c>
      <c r="C42" t="s">
        <v>75</v>
      </c>
      <c r="D42" t="str">
        <f>_xlfn.XLOOKUP(pincodes[[#This Row],[Customer Pincode]],Invoice[Customer Pincode],Invoice[Zone])</f>
        <v>b</v>
      </c>
      <c r="E42" t="str">
        <f>IF(pincodes[[#This Row],[ ABC Zone]]=pincodes[[#This Row],[Courier Zone]],"matched","not matched")</f>
        <v>matched</v>
      </c>
    </row>
    <row r="43" spans="1:5" x14ac:dyDescent="0.3">
      <c r="A43">
        <v>121003</v>
      </c>
      <c r="B43">
        <v>370201</v>
      </c>
      <c r="C43" t="s">
        <v>74</v>
      </c>
      <c r="D43" t="str">
        <f>_xlfn.XLOOKUP(pincodes[[#This Row],[Customer Pincode]],Invoice[Customer Pincode],Invoice[Zone])</f>
        <v>d</v>
      </c>
      <c r="E43" t="str">
        <f>IF(pincodes[[#This Row],[ ABC Zone]]=pincodes[[#This Row],[Courier Zone]],"matched","not matched")</f>
        <v>matched</v>
      </c>
    </row>
    <row r="44" spans="1:5" x14ac:dyDescent="0.3">
      <c r="A44">
        <v>121003</v>
      </c>
      <c r="B44">
        <v>248001</v>
      </c>
      <c r="C44" t="s">
        <v>75</v>
      </c>
      <c r="D44" t="str">
        <f>_xlfn.XLOOKUP(pincodes[[#This Row],[Customer Pincode]],Invoice[Customer Pincode],Invoice[Zone])</f>
        <v>b</v>
      </c>
      <c r="E44" t="str">
        <f>IF(pincodes[[#This Row],[ ABC Zone]]=pincodes[[#This Row],[Courier Zone]],"matched","not matched")</f>
        <v>matched</v>
      </c>
    </row>
    <row r="45" spans="1:5" x14ac:dyDescent="0.3">
      <c r="A45">
        <v>121003</v>
      </c>
      <c r="B45">
        <v>144001</v>
      </c>
      <c r="C45" t="s">
        <v>75</v>
      </c>
      <c r="D45" t="str">
        <f>_xlfn.XLOOKUP(pincodes[[#This Row],[Customer Pincode]],Invoice[Customer Pincode],Invoice[Zone])</f>
        <v>b</v>
      </c>
      <c r="E45" t="str">
        <f>IF(pincodes[[#This Row],[ ABC Zone]]=pincodes[[#This Row],[Courier Zone]],"matched","not matched")</f>
        <v>matched</v>
      </c>
    </row>
    <row r="46" spans="1:5" x14ac:dyDescent="0.3">
      <c r="A46">
        <v>121003</v>
      </c>
      <c r="B46">
        <v>403401</v>
      </c>
      <c r="C46" t="s">
        <v>74</v>
      </c>
      <c r="D46" t="str">
        <f>_xlfn.XLOOKUP(pincodes[[#This Row],[Customer Pincode]],Invoice[Customer Pincode],Invoice[Zone])</f>
        <v>d</v>
      </c>
      <c r="E46" t="str">
        <f>IF(pincodes[[#This Row],[ ABC Zone]]=pincodes[[#This Row],[Courier Zone]],"matched","not matched")</f>
        <v>matched</v>
      </c>
    </row>
    <row r="47" spans="1:5" x14ac:dyDescent="0.3">
      <c r="A47">
        <v>121003</v>
      </c>
      <c r="B47">
        <v>452001</v>
      </c>
      <c r="C47" t="s">
        <v>74</v>
      </c>
      <c r="D47" t="str">
        <f>_xlfn.XLOOKUP(pincodes[[#This Row],[Customer Pincode]],Invoice[Customer Pincode],Invoice[Zone])</f>
        <v>d</v>
      </c>
      <c r="E47" t="str">
        <f>IF(pincodes[[#This Row],[ ABC Zone]]=pincodes[[#This Row],[Courier Zone]],"matched","not matched")</f>
        <v>matched</v>
      </c>
    </row>
    <row r="48" spans="1:5" x14ac:dyDescent="0.3">
      <c r="A48">
        <v>121003</v>
      </c>
      <c r="B48">
        <v>721636</v>
      </c>
      <c r="C48" t="s">
        <v>74</v>
      </c>
      <c r="D48" t="str">
        <f>_xlfn.XLOOKUP(pincodes[[#This Row],[Customer Pincode]],Invoice[Customer Pincode],Invoice[Zone])</f>
        <v>d</v>
      </c>
      <c r="E48" t="str">
        <f>IF(pincodes[[#This Row],[ ABC Zone]]=pincodes[[#This Row],[Courier Zone]],"matched","not matched")</f>
        <v>matched</v>
      </c>
    </row>
    <row r="49" spans="1:5" x14ac:dyDescent="0.3">
      <c r="A49">
        <v>121003</v>
      </c>
      <c r="B49">
        <v>831002</v>
      </c>
      <c r="C49" t="s">
        <v>74</v>
      </c>
      <c r="D49" t="str">
        <f>_xlfn.XLOOKUP(pincodes[[#This Row],[Customer Pincode]],Invoice[Customer Pincode],Invoice[Zone])</f>
        <v>d</v>
      </c>
      <c r="E49" t="str">
        <f>IF(pincodes[[#This Row],[ ABC Zone]]=pincodes[[#This Row],[Courier Zone]],"matched","not matched")</f>
        <v>matched</v>
      </c>
    </row>
    <row r="50" spans="1:5" x14ac:dyDescent="0.3">
      <c r="A50">
        <v>121003</v>
      </c>
      <c r="B50">
        <v>226004</v>
      </c>
      <c r="C50" t="s">
        <v>75</v>
      </c>
      <c r="D50" t="str">
        <f>_xlfn.XLOOKUP(pincodes[[#This Row],[Customer Pincode]],Invoice[Customer Pincode],Invoice[Zone])</f>
        <v>b</v>
      </c>
      <c r="E50" t="str">
        <f>IF(pincodes[[#This Row],[ ABC Zone]]=pincodes[[#This Row],[Courier Zone]],"matched","not matched")</f>
        <v>matched</v>
      </c>
    </row>
    <row r="51" spans="1:5" x14ac:dyDescent="0.3">
      <c r="A51">
        <v>121003</v>
      </c>
      <c r="B51">
        <v>410206</v>
      </c>
      <c r="C51" t="s">
        <v>74</v>
      </c>
      <c r="D51" t="str">
        <f>_xlfn.XLOOKUP(pincodes[[#This Row],[Customer Pincode]],Invoice[Customer Pincode],Invoice[Zone])</f>
        <v>d</v>
      </c>
      <c r="E51" t="str">
        <f>IF(pincodes[[#This Row],[ ABC Zone]]=pincodes[[#This Row],[Courier Zone]],"matched","not matched")</f>
        <v>matched</v>
      </c>
    </row>
    <row r="52" spans="1:5" x14ac:dyDescent="0.3">
      <c r="A52">
        <v>121003</v>
      </c>
      <c r="B52">
        <v>516503</v>
      </c>
      <c r="C52" t="s">
        <v>74</v>
      </c>
      <c r="D52" t="str">
        <f>_xlfn.XLOOKUP(pincodes[[#This Row],[Customer Pincode]],Invoice[Customer Pincode],Invoice[Zone])</f>
        <v>d</v>
      </c>
      <c r="E52" t="str">
        <f>IF(pincodes[[#This Row],[ ABC Zone]]=pincodes[[#This Row],[Courier Zone]],"matched","not matched")</f>
        <v>matched</v>
      </c>
    </row>
    <row r="53" spans="1:5" x14ac:dyDescent="0.3">
      <c r="A53">
        <v>121003</v>
      </c>
      <c r="B53">
        <v>742103</v>
      </c>
      <c r="C53" t="s">
        <v>74</v>
      </c>
      <c r="D53" t="str">
        <f>_xlfn.XLOOKUP(pincodes[[#This Row],[Customer Pincode]],Invoice[Customer Pincode],Invoice[Zone])</f>
        <v>d</v>
      </c>
      <c r="E53" t="str">
        <f>IF(pincodes[[#This Row],[ ABC Zone]]=pincodes[[#This Row],[Courier Zone]],"matched","not matched")</f>
        <v>matched</v>
      </c>
    </row>
    <row r="54" spans="1:5" x14ac:dyDescent="0.3">
      <c r="A54">
        <v>121003</v>
      </c>
      <c r="B54">
        <v>452018</v>
      </c>
      <c r="C54" t="s">
        <v>74</v>
      </c>
      <c r="D54" t="str">
        <f>_xlfn.XLOOKUP(pincodes[[#This Row],[Customer Pincode]],Invoice[Customer Pincode],Invoice[Zone])</f>
        <v>d</v>
      </c>
      <c r="E54" t="str">
        <f>IF(pincodes[[#This Row],[ ABC Zone]]=pincodes[[#This Row],[Courier Zone]],"matched","not matched")</f>
        <v>matched</v>
      </c>
    </row>
    <row r="55" spans="1:5" x14ac:dyDescent="0.3">
      <c r="A55">
        <v>121003</v>
      </c>
      <c r="B55">
        <v>208001</v>
      </c>
      <c r="C55" t="s">
        <v>75</v>
      </c>
      <c r="D55" t="str">
        <f>_xlfn.XLOOKUP(pincodes[[#This Row],[Customer Pincode]],Invoice[Customer Pincode],Invoice[Zone])</f>
        <v>b</v>
      </c>
      <c r="E55" t="str">
        <f>IF(pincodes[[#This Row],[ ABC Zone]]=pincodes[[#This Row],[Courier Zone]],"matched","not matched")</f>
        <v>matched</v>
      </c>
    </row>
    <row r="56" spans="1:5" x14ac:dyDescent="0.3">
      <c r="A56">
        <v>121003</v>
      </c>
      <c r="B56">
        <v>244713</v>
      </c>
      <c r="C56" t="s">
        <v>75</v>
      </c>
      <c r="D56" t="str">
        <f>_xlfn.XLOOKUP(pincodes[[#This Row],[Customer Pincode]],Invoice[Customer Pincode],Invoice[Zone])</f>
        <v>b</v>
      </c>
      <c r="E56" t="str">
        <f>IF(pincodes[[#This Row],[ ABC Zone]]=pincodes[[#This Row],[Courier Zone]],"matched","not matched")</f>
        <v>matched</v>
      </c>
    </row>
    <row r="57" spans="1:5" x14ac:dyDescent="0.3">
      <c r="A57">
        <v>121003</v>
      </c>
      <c r="B57">
        <v>580007</v>
      </c>
      <c r="C57" t="s">
        <v>74</v>
      </c>
      <c r="D57" t="str">
        <f>_xlfn.XLOOKUP(pincodes[[#This Row],[Customer Pincode]],Invoice[Customer Pincode],Invoice[Zone])</f>
        <v>d</v>
      </c>
      <c r="E57" t="str">
        <f>IF(pincodes[[#This Row],[ ABC Zone]]=pincodes[[#This Row],[Courier Zone]],"matched","not matched")</f>
        <v>matched</v>
      </c>
    </row>
    <row r="58" spans="1:5" x14ac:dyDescent="0.3">
      <c r="A58">
        <v>121003</v>
      </c>
      <c r="B58">
        <v>360005</v>
      </c>
      <c r="C58" t="s">
        <v>74</v>
      </c>
      <c r="D58" t="str">
        <f>_xlfn.XLOOKUP(pincodes[[#This Row],[Customer Pincode]],Invoice[Customer Pincode],Invoice[Zone])</f>
        <v>d</v>
      </c>
      <c r="E58" t="str">
        <f>IF(pincodes[[#This Row],[ ABC Zone]]=pincodes[[#This Row],[Courier Zone]],"matched","not matched")</f>
        <v>matched</v>
      </c>
    </row>
    <row r="59" spans="1:5" x14ac:dyDescent="0.3">
      <c r="A59">
        <v>121003</v>
      </c>
      <c r="B59">
        <v>313027</v>
      </c>
      <c r="C59" t="s">
        <v>75</v>
      </c>
      <c r="D59" t="str">
        <f>_xlfn.XLOOKUP(pincodes[[#This Row],[Customer Pincode]],Invoice[Customer Pincode],Invoice[Zone])</f>
        <v>d</v>
      </c>
      <c r="E59" t="str">
        <f>IF(pincodes[[#This Row],[ ABC Zone]]=pincodes[[#This Row],[Courier Zone]],"matched","not matched")</f>
        <v>not matched</v>
      </c>
    </row>
    <row r="60" spans="1:5" x14ac:dyDescent="0.3">
      <c r="A60">
        <v>121003</v>
      </c>
      <c r="B60">
        <v>341001</v>
      </c>
      <c r="C60" t="s">
        <v>75</v>
      </c>
      <c r="D60" t="str">
        <f>_xlfn.XLOOKUP(pincodes[[#This Row],[Customer Pincode]],Invoice[Customer Pincode],Invoice[Zone])</f>
        <v>d</v>
      </c>
      <c r="E60" t="str">
        <f>IF(pincodes[[#This Row],[ ABC Zone]]=pincodes[[#This Row],[Courier Zone]],"matched","not matched")</f>
        <v>not matched</v>
      </c>
    </row>
    <row r="61" spans="1:5" x14ac:dyDescent="0.3">
      <c r="A61">
        <v>121003</v>
      </c>
      <c r="B61">
        <v>332715</v>
      </c>
      <c r="C61" t="s">
        <v>75</v>
      </c>
      <c r="D61" t="str">
        <f>_xlfn.XLOOKUP(pincodes[[#This Row],[Customer Pincode]],Invoice[Customer Pincode],Invoice[Zone])</f>
        <v>d</v>
      </c>
      <c r="E61" t="str">
        <f>IF(pincodes[[#This Row],[ ABC Zone]]=pincodes[[#This Row],[Courier Zone]],"matched","not matched")</f>
        <v>not matched</v>
      </c>
    </row>
    <row r="62" spans="1:5" x14ac:dyDescent="0.3">
      <c r="A62">
        <v>121003</v>
      </c>
      <c r="B62">
        <v>302031</v>
      </c>
      <c r="C62" t="s">
        <v>75</v>
      </c>
      <c r="D62" t="str">
        <f>_xlfn.XLOOKUP(pincodes[[#This Row],[Customer Pincode]],Invoice[Customer Pincode],Invoice[Zone])</f>
        <v>d</v>
      </c>
      <c r="E62" t="str">
        <f>IF(pincodes[[#This Row],[ ABC Zone]]=pincodes[[#This Row],[Courier Zone]],"matched","not matched")</f>
        <v>not matched</v>
      </c>
    </row>
    <row r="63" spans="1:5" x14ac:dyDescent="0.3">
      <c r="A63">
        <v>121003</v>
      </c>
      <c r="B63">
        <v>335001</v>
      </c>
      <c r="C63" t="s">
        <v>75</v>
      </c>
      <c r="D63" t="str">
        <f>_xlfn.XLOOKUP(pincodes[[#This Row],[Customer Pincode]],Invoice[Customer Pincode],Invoice[Zone])</f>
        <v>d</v>
      </c>
      <c r="E63" t="str">
        <f>IF(pincodes[[#This Row],[ ABC Zone]]=pincodes[[#This Row],[Courier Zone]],"matched","not matched")</f>
        <v>not matched</v>
      </c>
    </row>
    <row r="64" spans="1:5" x14ac:dyDescent="0.3">
      <c r="A64">
        <v>121003</v>
      </c>
      <c r="B64">
        <v>334004</v>
      </c>
      <c r="C64" t="s">
        <v>75</v>
      </c>
      <c r="D64" t="str">
        <f>_xlfn.XLOOKUP(pincodes[[#This Row],[Customer Pincode]],Invoice[Customer Pincode],Invoice[Zone])</f>
        <v>d</v>
      </c>
      <c r="E64" t="str">
        <f>IF(pincodes[[#This Row],[ ABC Zone]]=pincodes[[#This Row],[Courier Zone]],"matched","not matched")</f>
        <v>not matched</v>
      </c>
    </row>
    <row r="65" spans="1:5" x14ac:dyDescent="0.3">
      <c r="A65">
        <v>121003</v>
      </c>
      <c r="B65">
        <v>321001</v>
      </c>
      <c r="C65" t="s">
        <v>75</v>
      </c>
      <c r="D65" t="str">
        <f>_xlfn.XLOOKUP(pincodes[[#This Row],[Customer Pincode]],Invoice[Customer Pincode],Invoice[Zone])</f>
        <v>d</v>
      </c>
      <c r="E65" t="str">
        <f>IF(pincodes[[#This Row],[ ABC Zone]]=pincodes[[#This Row],[Courier Zone]],"matched","not matched")</f>
        <v>not matched</v>
      </c>
    </row>
    <row r="66" spans="1:5" x14ac:dyDescent="0.3">
      <c r="A66">
        <v>121003</v>
      </c>
      <c r="B66">
        <v>324001</v>
      </c>
      <c r="C66" t="s">
        <v>75</v>
      </c>
      <c r="D66" t="str">
        <f>_xlfn.XLOOKUP(pincodes[[#This Row],[Customer Pincode]],Invoice[Customer Pincode],Invoice[Zone])</f>
        <v>d</v>
      </c>
      <c r="E66" t="str">
        <f>IF(pincodes[[#This Row],[ ABC Zone]]=pincodes[[#This Row],[Courier Zone]],"matched","not matched")</f>
        <v>not matched</v>
      </c>
    </row>
    <row r="67" spans="1:5" x14ac:dyDescent="0.3">
      <c r="A67">
        <v>121003</v>
      </c>
      <c r="B67">
        <v>321608</v>
      </c>
      <c r="C67" t="s">
        <v>75</v>
      </c>
      <c r="D67" t="str">
        <f>_xlfn.XLOOKUP(pincodes[[#This Row],[Customer Pincode]],Invoice[Customer Pincode],Invoice[Zone])</f>
        <v>d</v>
      </c>
      <c r="E67" t="str">
        <f>IF(pincodes[[#This Row],[ ABC Zone]]=pincodes[[#This Row],[Courier Zone]],"matched","not matched")</f>
        <v>not matched</v>
      </c>
    </row>
    <row r="68" spans="1:5" x14ac:dyDescent="0.3">
      <c r="A68">
        <v>121003</v>
      </c>
      <c r="B68">
        <v>302002</v>
      </c>
      <c r="C68" t="s">
        <v>75</v>
      </c>
      <c r="D68" t="str">
        <f>_xlfn.XLOOKUP(pincodes[[#This Row],[Customer Pincode]],Invoice[Customer Pincode],Invoice[Zone])</f>
        <v>d</v>
      </c>
      <c r="E68" t="str">
        <f>IF(pincodes[[#This Row],[ ABC Zone]]=pincodes[[#This Row],[Courier Zone]],"matched","not matched")</f>
        <v>not matched</v>
      </c>
    </row>
    <row r="69" spans="1:5" x14ac:dyDescent="0.3">
      <c r="A69">
        <v>121003</v>
      </c>
      <c r="B69">
        <v>311011</v>
      </c>
      <c r="C69" t="s">
        <v>75</v>
      </c>
      <c r="D69" t="str">
        <f>_xlfn.XLOOKUP(pincodes[[#This Row],[Customer Pincode]],Invoice[Customer Pincode],Invoice[Zone])</f>
        <v>d</v>
      </c>
      <c r="E69" t="str">
        <f>IF(pincodes[[#This Row],[ ABC Zone]]=pincodes[[#This Row],[Courier Zone]],"matched","not matched")</f>
        <v>not matched</v>
      </c>
    </row>
    <row r="70" spans="1:5" x14ac:dyDescent="0.3">
      <c r="A70">
        <v>121003</v>
      </c>
      <c r="B70">
        <v>306302</v>
      </c>
      <c r="C70" t="s">
        <v>75</v>
      </c>
      <c r="D70" t="str">
        <f>_xlfn.XLOOKUP(pincodes[[#This Row],[Customer Pincode]],Invoice[Customer Pincode],Invoice[Zone])</f>
        <v>d</v>
      </c>
      <c r="E70" t="str">
        <f>IF(pincodes[[#This Row],[ ABC Zone]]=pincodes[[#This Row],[Courier Zone]],"matched","not matched")</f>
        <v>not matched</v>
      </c>
    </row>
    <row r="71" spans="1:5" x14ac:dyDescent="0.3">
      <c r="A71">
        <v>121003</v>
      </c>
      <c r="B71">
        <v>313001</v>
      </c>
      <c r="C71" t="s">
        <v>75</v>
      </c>
      <c r="D71" t="str">
        <f>_xlfn.XLOOKUP(pincodes[[#This Row],[Customer Pincode]],Invoice[Customer Pincode],Invoice[Zone])</f>
        <v>d</v>
      </c>
      <c r="E71" t="str">
        <f>IF(pincodes[[#This Row],[ ABC Zone]]=pincodes[[#This Row],[Courier Zone]],"matched","not matched")</f>
        <v>not matched</v>
      </c>
    </row>
    <row r="72" spans="1:5" x14ac:dyDescent="0.3">
      <c r="A72">
        <v>121003</v>
      </c>
      <c r="B72">
        <v>322255</v>
      </c>
      <c r="C72" t="s">
        <v>75</v>
      </c>
      <c r="D72" t="str">
        <f>_xlfn.XLOOKUP(pincodes[[#This Row],[Customer Pincode]],Invoice[Customer Pincode],Invoice[Zone])</f>
        <v>d</v>
      </c>
      <c r="E72" t="str">
        <f>IF(pincodes[[#This Row],[ ABC Zone]]=pincodes[[#This Row],[Courier Zone]],"matched","not matched")</f>
        <v>not matched</v>
      </c>
    </row>
    <row r="73" spans="1:5" x14ac:dyDescent="0.3">
      <c r="A73">
        <v>121003</v>
      </c>
      <c r="B73">
        <v>302017</v>
      </c>
      <c r="C73" t="s">
        <v>75</v>
      </c>
      <c r="D73" t="str">
        <f>_xlfn.XLOOKUP(pincodes[[#This Row],[Customer Pincode]],Invoice[Customer Pincode],Invoice[Zone])</f>
        <v>d</v>
      </c>
      <c r="E73" t="str">
        <f>IF(pincodes[[#This Row],[ ABC Zone]]=pincodes[[#This Row],[Courier Zone]],"matched","not matched")</f>
        <v>not matched</v>
      </c>
    </row>
    <row r="74" spans="1:5" x14ac:dyDescent="0.3">
      <c r="A74">
        <v>121003</v>
      </c>
      <c r="B74">
        <v>335512</v>
      </c>
      <c r="C74" t="s">
        <v>75</v>
      </c>
      <c r="D74" t="str">
        <f>_xlfn.XLOOKUP(pincodes[[#This Row],[Customer Pincode]],Invoice[Customer Pincode],Invoice[Zone])</f>
        <v>d</v>
      </c>
      <c r="E74" t="str">
        <f>IF(pincodes[[#This Row],[ ABC Zone]]=pincodes[[#This Row],[Courier Zone]],"matched","not matched")</f>
        <v>not matched</v>
      </c>
    </row>
    <row r="75" spans="1:5" x14ac:dyDescent="0.3">
      <c r="A75">
        <v>121003</v>
      </c>
      <c r="B75">
        <v>307026</v>
      </c>
      <c r="C75" t="s">
        <v>75</v>
      </c>
      <c r="D75" t="str">
        <f>_xlfn.XLOOKUP(pincodes[[#This Row],[Customer Pincode]],Invoice[Customer Pincode],Invoice[Zone])</f>
        <v>d</v>
      </c>
      <c r="E75" t="str">
        <f>IF(pincodes[[#This Row],[ ABC Zone]]=pincodes[[#This Row],[Courier Zone]],"matched","not matched")</f>
        <v>not matched</v>
      </c>
    </row>
    <row r="76" spans="1:5" x14ac:dyDescent="0.3">
      <c r="A76">
        <v>121003</v>
      </c>
      <c r="B76">
        <v>327025</v>
      </c>
      <c r="C76" t="s">
        <v>75</v>
      </c>
      <c r="D76" t="str">
        <f>_xlfn.XLOOKUP(pincodes[[#This Row],[Customer Pincode]],Invoice[Customer Pincode],Invoice[Zone])</f>
        <v>d</v>
      </c>
      <c r="E76" t="str">
        <f>IF(pincodes[[#This Row],[ ABC Zone]]=pincodes[[#This Row],[Courier Zone]],"matched","not matched")</f>
        <v>not matched</v>
      </c>
    </row>
    <row r="77" spans="1:5" x14ac:dyDescent="0.3">
      <c r="A77">
        <v>121003</v>
      </c>
      <c r="B77">
        <v>313333</v>
      </c>
      <c r="C77" t="s">
        <v>75</v>
      </c>
      <c r="D77" t="str">
        <f>_xlfn.XLOOKUP(pincodes[[#This Row],[Customer Pincode]],Invoice[Customer Pincode],Invoice[Zone])</f>
        <v>d</v>
      </c>
      <c r="E77" t="str">
        <f>IF(pincodes[[#This Row],[ ABC Zone]]=pincodes[[#This Row],[Courier Zone]],"matched","not matched")</f>
        <v>not matched</v>
      </c>
    </row>
    <row r="78" spans="1:5" x14ac:dyDescent="0.3">
      <c r="A78">
        <v>121003</v>
      </c>
      <c r="B78">
        <v>342008</v>
      </c>
      <c r="C78" t="s">
        <v>75</v>
      </c>
      <c r="D78" t="str">
        <f>_xlfn.XLOOKUP(pincodes[[#This Row],[Customer Pincode]],Invoice[Customer Pincode],Invoice[Zone])</f>
        <v>d</v>
      </c>
      <c r="E78" t="str">
        <f>IF(pincodes[[#This Row],[ ABC Zone]]=pincodes[[#This Row],[Courier Zone]],"matched","not matched")</f>
        <v>not matched</v>
      </c>
    </row>
    <row r="79" spans="1:5" x14ac:dyDescent="0.3">
      <c r="A79">
        <v>121003</v>
      </c>
      <c r="B79">
        <v>314401</v>
      </c>
      <c r="C79" t="s">
        <v>75</v>
      </c>
      <c r="D79" t="str">
        <f>_xlfn.XLOOKUP(pincodes[[#This Row],[Customer Pincode]],Invoice[Customer Pincode],Invoice[Zone])</f>
        <v>d</v>
      </c>
      <c r="E79" t="str">
        <f>IF(pincodes[[#This Row],[ ABC Zone]]=pincodes[[#This Row],[Courier Zone]],"matched","not matched")</f>
        <v>not matched</v>
      </c>
    </row>
    <row r="80" spans="1:5" x14ac:dyDescent="0.3">
      <c r="A80">
        <v>121003</v>
      </c>
      <c r="B80">
        <v>342301</v>
      </c>
      <c r="C80" t="s">
        <v>75</v>
      </c>
      <c r="D80" t="str">
        <f>_xlfn.XLOOKUP(pincodes[[#This Row],[Customer Pincode]],Invoice[Customer Pincode],Invoice[Zone])</f>
        <v>d</v>
      </c>
      <c r="E80" t="str">
        <f>IF(pincodes[[#This Row],[ ABC Zone]]=pincodes[[#This Row],[Courier Zone]],"matched","not matched")</f>
        <v>not matched</v>
      </c>
    </row>
    <row r="81" spans="1:5" x14ac:dyDescent="0.3">
      <c r="A81">
        <v>121003</v>
      </c>
      <c r="B81">
        <v>313003</v>
      </c>
      <c r="C81" t="s">
        <v>75</v>
      </c>
      <c r="D81" t="str">
        <f>_xlfn.XLOOKUP(pincodes[[#This Row],[Customer Pincode]],Invoice[Customer Pincode],Invoice[Zone])</f>
        <v>d</v>
      </c>
      <c r="E81" t="str">
        <f>IF(pincodes[[#This Row],[ ABC Zone]]=pincodes[[#This Row],[Courier Zone]],"matched","not matched")</f>
        <v>not matched</v>
      </c>
    </row>
    <row r="82" spans="1:5" x14ac:dyDescent="0.3">
      <c r="A82">
        <v>121003</v>
      </c>
      <c r="B82">
        <v>173212</v>
      </c>
      <c r="C82" t="s">
        <v>76</v>
      </c>
      <c r="D82" t="str">
        <f>_xlfn.XLOOKUP(pincodes[[#This Row],[Customer Pincode]],Invoice[Customer Pincode],Invoice[Zone])</f>
        <v>b</v>
      </c>
      <c r="E82" t="str">
        <f>IF(pincodes[[#This Row],[ ABC Zone]]=pincodes[[#This Row],[Courier Zone]],"matched","not matched")</f>
        <v>not matched</v>
      </c>
    </row>
    <row r="83" spans="1:5" x14ac:dyDescent="0.3">
      <c r="A83">
        <v>121003</v>
      </c>
      <c r="B83">
        <v>174101</v>
      </c>
      <c r="C83" t="s">
        <v>76</v>
      </c>
      <c r="D83" t="str">
        <f>_xlfn.XLOOKUP(pincodes[[#This Row],[Customer Pincode]],Invoice[Customer Pincode],Invoice[Zone])</f>
        <v>b</v>
      </c>
      <c r="E83" t="str">
        <f>IF(pincodes[[#This Row],[ ABC Zone]]=pincodes[[#This Row],[Courier Zone]],"matched","not matched")</f>
        <v>not matched</v>
      </c>
    </row>
    <row r="84" spans="1:5" x14ac:dyDescent="0.3">
      <c r="A84">
        <v>121003</v>
      </c>
      <c r="B84">
        <v>173213</v>
      </c>
      <c r="C84" t="s">
        <v>76</v>
      </c>
      <c r="D84" t="str">
        <f>_xlfn.XLOOKUP(pincodes[[#This Row],[Customer Pincode]],Invoice[Customer Pincode],Invoice[Zone])</f>
        <v>b</v>
      </c>
      <c r="E84" t="str">
        <f>IF(pincodes[[#This Row],[ ABC Zone]]=pincodes[[#This Row],[Courier Zone]],"matched","not matched")</f>
        <v>not matched</v>
      </c>
    </row>
    <row r="85" spans="1:5" x14ac:dyDescent="0.3">
      <c r="A85">
        <v>121003</v>
      </c>
      <c r="B85">
        <v>322201</v>
      </c>
      <c r="C85" t="s">
        <v>75</v>
      </c>
      <c r="D85" t="str">
        <f>_xlfn.XLOOKUP(pincodes[[#This Row],[Customer Pincode]],Invoice[Customer Pincode],Invoice[Zone])</f>
        <v>d</v>
      </c>
      <c r="E85" t="str">
        <f>IF(pincodes[[#This Row],[ ABC Zone]]=pincodes[[#This Row],[Courier Zone]],"matched","not matched")</f>
        <v>not matched</v>
      </c>
    </row>
    <row r="86" spans="1:5" x14ac:dyDescent="0.3">
      <c r="A86">
        <v>121003</v>
      </c>
      <c r="B86">
        <v>314001</v>
      </c>
      <c r="C86" t="s">
        <v>75</v>
      </c>
      <c r="D86" t="str">
        <f>_xlfn.XLOOKUP(pincodes[[#This Row],[Customer Pincode]],Invoice[Customer Pincode],Invoice[Zone])</f>
        <v>d</v>
      </c>
      <c r="E86" t="str">
        <f>IF(pincodes[[#This Row],[ ABC Zone]]=pincodes[[#This Row],[Courier Zone]],"matched","not matched")</f>
        <v>not matched</v>
      </c>
    </row>
    <row r="87" spans="1:5" x14ac:dyDescent="0.3">
      <c r="A87">
        <v>121003</v>
      </c>
      <c r="B87">
        <v>331022</v>
      </c>
      <c r="C87" t="s">
        <v>75</v>
      </c>
      <c r="D87" t="str">
        <f>_xlfn.XLOOKUP(pincodes[[#This Row],[Customer Pincode]],Invoice[Customer Pincode],Invoice[Zone])</f>
        <v>d</v>
      </c>
      <c r="E87" t="str">
        <f>IF(pincodes[[#This Row],[ ABC Zone]]=pincodes[[#This Row],[Courier Zone]],"matched","not matched")</f>
        <v>not matched</v>
      </c>
    </row>
    <row r="88" spans="1:5" x14ac:dyDescent="0.3">
      <c r="A88">
        <v>121003</v>
      </c>
      <c r="B88">
        <v>305801</v>
      </c>
      <c r="C88" t="s">
        <v>75</v>
      </c>
      <c r="D88" t="str">
        <f>_xlfn.XLOOKUP(pincodes[[#This Row],[Customer Pincode]],Invoice[Customer Pincode],Invoice[Zone])</f>
        <v>d</v>
      </c>
      <c r="E88" t="str">
        <f>IF(pincodes[[#This Row],[ ABC Zone]]=pincodes[[#This Row],[Courier Zone]],"matched","not matched")</f>
        <v>not matched</v>
      </c>
    </row>
    <row r="89" spans="1:5" x14ac:dyDescent="0.3">
      <c r="A89">
        <v>121003</v>
      </c>
      <c r="B89">
        <v>335502</v>
      </c>
      <c r="C89" t="s">
        <v>75</v>
      </c>
      <c r="D89" t="str">
        <f>_xlfn.XLOOKUP(pincodes[[#This Row],[Customer Pincode]],Invoice[Customer Pincode],Invoice[Zone])</f>
        <v>d</v>
      </c>
      <c r="E89" t="str">
        <f>IF(pincodes[[#This Row],[ ABC Zone]]=pincodes[[#This Row],[Courier Zone]],"matched","not matched")</f>
        <v>not matched</v>
      </c>
    </row>
    <row r="90" spans="1:5" x14ac:dyDescent="0.3">
      <c r="A90">
        <v>121003</v>
      </c>
      <c r="B90">
        <v>306116</v>
      </c>
      <c r="C90" t="s">
        <v>75</v>
      </c>
      <c r="D90" t="str">
        <f>_xlfn.XLOOKUP(pincodes[[#This Row],[Customer Pincode]],Invoice[Customer Pincode],Invoice[Zone])</f>
        <v>d</v>
      </c>
      <c r="E90" t="str">
        <f>IF(pincodes[[#This Row],[ ABC Zone]]=pincodes[[#This Row],[Courier Zone]],"matched","not matched")</f>
        <v>not matched</v>
      </c>
    </row>
    <row r="91" spans="1:5" x14ac:dyDescent="0.3">
      <c r="A91">
        <v>121003</v>
      </c>
      <c r="B91">
        <v>311001</v>
      </c>
      <c r="C91" t="s">
        <v>75</v>
      </c>
      <c r="D91" t="str">
        <f>_xlfn.XLOOKUP(pincodes[[#This Row],[Customer Pincode]],Invoice[Customer Pincode],Invoice[Zone])</f>
        <v>d</v>
      </c>
      <c r="E91" t="str">
        <f>IF(pincodes[[#This Row],[ ABC Zone]]=pincodes[[#This Row],[Courier Zone]],"matched","not matched")</f>
        <v>not matched</v>
      </c>
    </row>
    <row r="92" spans="1:5" x14ac:dyDescent="0.3">
      <c r="A92">
        <v>121003</v>
      </c>
      <c r="B92">
        <v>302019</v>
      </c>
      <c r="C92" t="s">
        <v>75</v>
      </c>
      <c r="D92" t="str">
        <f>_xlfn.XLOOKUP(pincodes[[#This Row],[Customer Pincode]],Invoice[Customer Pincode],Invoice[Zone])</f>
        <v>d</v>
      </c>
      <c r="E92" t="str">
        <f>IF(pincodes[[#This Row],[ ABC Zone]]=pincodes[[#This Row],[Courier Zone]],"matched","not matched")</f>
        <v>not matched</v>
      </c>
    </row>
    <row r="93" spans="1:5" x14ac:dyDescent="0.3">
      <c r="A93">
        <v>121003</v>
      </c>
      <c r="B93">
        <v>302039</v>
      </c>
      <c r="C93" t="s">
        <v>75</v>
      </c>
      <c r="D93" t="str">
        <f>_xlfn.XLOOKUP(pincodes[[#This Row],[Customer Pincode]],Invoice[Customer Pincode],Invoice[Zone])</f>
        <v>d</v>
      </c>
      <c r="E93" t="str">
        <f>IF(pincodes[[#This Row],[ ABC Zone]]=pincodes[[#This Row],[Courier Zone]],"matched","not matched")</f>
        <v>not matched</v>
      </c>
    </row>
    <row r="94" spans="1:5" x14ac:dyDescent="0.3">
      <c r="A94">
        <v>121003</v>
      </c>
      <c r="B94">
        <v>335803</v>
      </c>
      <c r="C94" t="s">
        <v>75</v>
      </c>
      <c r="D94" t="str">
        <f>_xlfn.XLOOKUP(pincodes[[#This Row],[Customer Pincode]],Invoice[Customer Pincode],Invoice[Zone])</f>
        <v>d</v>
      </c>
      <c r="E94" t="str">
        <f>IF(pincodes[[#This Row],[ ABC Zone]]=pincodes[[#This Row],[Courier Zone]],"matched","not matched")</f>
        <v>not matched</v>
      </c>
    </row>
    <row r="95" spans="1:5" x14ac:dyDescent="0.3">
      <c r="A95">
        <v>121003</v>
      </c>
      <c r="B95">
        <v>175101</v>
      </c>
      <c r="C95" t="s">
        <v>76</v>
      </c>
      <c r="D95" t="str">
        <f>_xlfn.XLOOKUP(pincodes[[#This Row],[Customer Pincode]],Invoice[Customer Pincode],Invoice[Zone])</f>
        <v>b</v>
      </c>
      <c r="E95" t="str">
        <f>IF(pincodes[[#This Row],[ ABC Zone]]=pincodes[[#This Row],[Courier Zone]],"matched","not matched")</f>
        <v>not matched</v>
      </c>
    </row>
    <row r="96" spans="1:5" x14ac:dyDescent="0.3">
      <c r="A96">
        <v>121003</v>
      </c>
      <c r="B96">
        <v>303903</v>
      </c>
      <c r="C96" t="s">
        <v>75</v>
      </c>
      <c r="D96" t="str">
        <f>_xlfn.XLOOKUP(pincodes[[#This Row],[Customer Pincode]],Invoice[Customer Pincode],Invoice[Zone])</f>
        <v>d</v>
      </c>
      <c r="E96" t="str">
        <f>IF(pincodes[[#This Row],[ ABC Zone]]=pincodes[[#This Row],[Courier Zone]],"matched","not matched")</f>
        <v>not matched</v>
      </c>
    </row>
    <row r="97" spans="1:5" x14ac:dyDescent="0.3">
      <c r="A97">
        <v>121003</v>
      </c>
      <c r="B97">
        <v>342012</v>
      </c>
      <c r="C97" t="s">
        <v>75</v>
      </c>
      <c r="D97" t="str">
        <f>_xlfn.XLOOKUP(pincodes[[#This Row],[Customer Pincode]],Invoice[Customer Pincode],Invoice[Zone])</f>
        <v>d</v>
      </c>
      <c r="E97" t="str">
        <f>IF(pincodes[[#This Row],[ ABC Zone]]=pincodes[[#This Row],[Courier Zone]],"matched","not matched")</f>
        <v>not matched</v>
      </c>
    </row>
    <row r="98" spans="1:5" x14ac:dyDescent="0.3">
      <c r="A98">
        <v>121003</v>
      </c>
      <c r="B98">
        <v>334001</v>
      </c>
      <c r="C98" t="s">
        <v>75</v>
      </c>
      <c r="D98" t="str">
        <f>_xlfn.XLOOKUP(pincodes[[#This Row],[Customer Pincode]],Invoice[Customer Pincode],Invoice[Zone])</f>
        <v>d</v>
      </c>
      <c r="E98" t="str">
        <f>IF(pincodes[[#This Row],[ ABC Zone]]=pincodes[[#This Row],[Courier Zone]],"matched","not matched")</f>
        <v>not matched</v>
      </c>
    </row>
    <row r="99" spans="1:5" x14ac:dyDescent="0.3">
      <c r="A99">
        <v>121003</v>
      </c>
      <c r="B99">
        <v>302012</v>
      </c>
      <c r="C99" t="s">
        <v>75</v>
      </c>
      <c r="D99" t="str">
        <f>_xlfn.XLOOKUP(pincodes[[#This Row],[Customer Pincode]],Invoice[Customer Pincode],Invoice[Zone])</f>
        <v>d</v>
      </c>
      <c r="E99" t="str">
        <f>IF(pincodes[[#This Row],[ ABC Zone]]=pincodes[[#This Row],[Courier Zone]],"matched","not matched")</f>
        <v>not matched</v>
      </c>
    </row>
    <row r="100" spans="1:5" x14ac:dyDescent="0.3">
      <c r="A100">
        <v>121003</v>
      </c>
      <c r="B100">
        <v>342014</v>
      </c>
      <c r="C100" t="s">
        <v>75</v>
      </c>
      <c r="D100" t="str">
        <f>_xlfn.XLOOKUP(pincodes[[#This Row],[Customer Pincode]],Invoice[Customer Pincode],Invoice[Zone])</f>
        <v>d</v>
      </c>
      <c r="E100" t="str">
        <f>IF(pincodes[[#This Row],[ ABC Zone]]=pincodes[[#This Row],[Courier Zone]],"matched","not matched")</f>
        <v>not matched</v>
      </c>
    </row>
    <row r="101" spans="1:5" x14ac:dyDescent="0.3">
      <c r="A101">
        <v>121003</v>
      </c>
      <c r="B101">
        <v>324005</v>
      </c>
      <c r="C101" t="s">
        <v>75</v>
      </c>
      <c r="D101" t="str">
        <f>_xlfn.XLOOKUP(pincodes[[#This Row],[Customer Pincode]],Invoice[Customer Pincode],Invoice[Zone])</f>
        <v>d</v>
      </c>
      <c r="E101" t="str">
        <f>IF(pincodes[[#This Row],[ ABC Zone]]=pincodes[[#This Row],[Courier Zone]],"matched","not matched")</f>
        <v>not matched</v>
      </c>
    </row>
    <row r="102" spans="1:5" x14ac:dyDescent="0.3">
      <c r="A102">
        <v>121003</v>
      </c>
      <c r="B102">
        <v>302001</v>
      </c>
      <c r="C102" t="s">
        <v>75</v>
      </c>
      <c r="D102" t="str">
        <f>_xlfn.XLOOKUP(pincodes[[#This Row],[Customer Pincode]],Invoice[Customer Pincode],Invoice[Zone])</f>
        <v>d</v>
      </c>
      <c r="E102" t="str">
        <f>IF(pincodes[[#This Row],[ ABC Zone]]=pincodes[[#This Row],[Courier Zone]],"matched","not matched")</f>
        <v>not matched</v>
      </c>
    </row>
    <row r="103" spans="1:5" x14ac:dyDescent="0.3">
      <c r="A103">
        <v>121003</v>
      </c>
      <c r="B103">
        <v>302004</v>
      </c>
      <c r="C103" t="s">
        <v>75</v>
      </c>
      <c r="D103" t="str">
        <f>_xlfn.XLOOKUP(pincodes[[#This Row],[Customer Pincode]],Invoice[Customer Pincode],Invoice[Zone])</f>
        <v>d</v>
      </c>
      <c r="E103" t="str">
        <f>IF(pincodes[[#This Row],[ ABC Zone]]=pincodes[[#This Row],[Courier Zone]],"matched","not matched")</f>
        <v>not matched</v>
      </c>
    </row>
    <row r="104" spans="1:5" x14ac:dyDescent="0.3">
      <c r="A104">
        <v>121003</v>
      </c>
      <c r="B104">
        <v>302018</v>
      </c>
      <c r="C104" t="s">
        <v>75</v>
      </c>
      <c r="D104" t="str">
        <f>_xlfn.XLOOKUP(pincodes[[#This Row],[Customer Pincode]],Invoice[Customer Pincode],Invoice[Zone])</f>
        <v>d</v>
      </c>
      <c r="E104" t="str">
        <f>IF(pincodes[[#This Row],[ ABC Zone]]=pincodes[[#This Row],[Courier Zone]],"matched","not matched")</f>
        <v>not matched</v>
      </c>
    </row>
    <row r="105" spans="1:5" x14ac:dyDescent="0.3">
      <c r="A105">
        <v>121003</v>
      </c>
      <c r="B105">
        <v>324008</v>
      </c>
      <c r="C105" t="s">
        <v>75</v>
      </c>
      <c r="D105" t="str">
        <f>_xlfn.XLOOKUP(pincodes[[#This Row],[Customer Pincode]],Invoice[Customer Pincode],Invoice[Zone])</f>
        <v>d</v>
      </c>
      <c r="E105" t="str">
        <f>IF(pincodes[[#This Row],[ ABC Zone]]=pincodes[[#This Row],[Courier Zone]],"matched","not matched")</f>
        <v>not matched</v>
      </c>
    </row>
    <row r="106" spans="1:5" x14ac:dyDescent="0.3">
      <c r="A106">
        <v>121003</v>
      </c>
      <c r="B106">
        <v>302020</v>
      </c>
      <c r="C106" t="s">
        <v>75</v>
      </c>
      <c r="D106" t="str">
        <f>_xlfn.XLOOKUP(pincodes[[#This Row],[Customer Pincode]],Invoice[Customer Pincode],Invoice[Zone])</f>
        <v>d</v>
      </c>
      <c r="E106" t="str">
        <f>IF(pincodes[[#This Row],[ ABC Zone]]=pincodes[[#This Row],[Courier Zone]],"matched","not matched")</f>
        <v>not matched</v>
      </c>
    </row>
    <row r="107" spans="1:5" x14ac:dyDescent="0.3">
      <c r="A107">
        <v>121003</v>
      </c>
      <c r="B107">
        <v>325207</v>
      </c>
      <c r="C107" t="s">
        <v>75</v>
      </c>
      <c r="D107" t="str">
        <f>_xlfn.XLOOKUP(pincodes[[#This Row],[Customer Pincode]],Invoice[Customer Pincode],Invoice[Zone])</f>
        <v>d</v>
      </c>
      <c r="E107" t="str">
        <f>IF(pincodes[[#This Row],[ ABC Zone]]=pincodes[[#This Row],[Courier Zone]],"matched","not matched")</f>
        <v>not matched</v>
      </c>
    </row>
    <row r="108" spans="1:5" x14ac:dyDescent="0.3">
      <c r="A108">
        <v>121003</v>
      </c>
      <c r="B108">
        <v>303702</v>
      </c>
      <c r="C108" t="s">
        <v>75</v>
      </c>
      <c r="D108" t="str">
        <f>_xlfn.XLOOKUP(pincodes[[#This Row],[Customer Pincode]],Invoice[Customer Pincode],Invoice[Zone])</f>
        <v>d</v>
      </c>
      <c r="E108" t="str">
        <f>IF(pincodes[[#This Row],[ ABC Zone]]=pincodes[[#This Row],[Courier Zone]],"matched","not matched")</f>
        <v>not matched</v>
      </c>
    </row>
    <row r="109" spans="1:5" x14ac:dyDescent="0.3">
      <c r="A109">
        <v>121003</v>
      </c>
      <c r="B109">
        <v>313301</v>
      </c>
      <c r="C109" t="s">
        <v>75</v>
      </c>
      <c r="D109" t="str">
        <f>_xlfn.XLOOKUP(pincodes[[#This Row],[Customer Pincode]],Invoice[Customer Pincode],Invoice[Zone])</f>
        <v>d</v>
      </c>
      <c r="E109" t="str">
        <f>IF(pincodes[[#This Row],[ ABC Zone]]=pincodes[[#This Row],[Courier Zone]],"matched","not matched")</f>
        <v>not matched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4C240-F173-4E7A-BE11-7EE1C70897CB}">
  <sheetPr codeName="Sheet5"/>
  <dimension ref="A1:AH399"/>
  <sheetViews>
    <sheetView zoomScale="77" workbookViewId="0">
      <selection activeCell="AE11" sqref="AE11"/>
    </sheetView>
  </sheetViews>
  <sheetFormatPr defaultRowHeight="14.4" x14ac:dyDescent="0.3"/>
  <cols>
    <col min="1" max="1" width="15.88671875" bestFit="1" customWidth="1"/>
    <col min="2" max="2" width="14.21875" bestFit="1" customWidth="1"/>
    <col min="3" max="3" width="11.44140625" bestFit="1" customWidth="1"/>
    <col min="4" max="4" width="18.77734375" bestFit="1" customWidth="1"/>
    <col min="5" max="5" width="14.6640625" bestFit="1" customWidth="1"/>
    <col min="14" max="14" width="26.44140625" customWidth="1"/>
    <col min="15" max="15" width="17.77734375" customWidth="1"/>
    <col min="16" max="16" width="22.21875" customWidth="1"/>
    <col min="17" max="17" width="27.44140625" customWidth="1"/>
    <col min="18" max="18" width="17.109375" customWidth="1"/>
    <col min="19" max="19" width="23.33203125" customWidth="1"/>
    <col min="20" max="20" width="21.21875" hidden="1" customWidth="1"/>
    <col min="21" max="21" width="25.33203125" hidden="1" customWidth="1"/>
    <col min="22" max="22" width="17.6640625" customWidth="1"/>
    <col min="23" max="23" width="21.21875" customWidth="1"/>
    <col min="24" max="24" width="21.44140625" customWidth="1"/>
    <col min="25" max="25" width="14.6640625" customWidth="1"/>
    <col min="26" max="26" width="19" customWidth="1"/>
    <col min="31" max="31" width="54.109375" customWidth="1"/>
    <col min="32" max="32" width="11" customWidth="1"/>
    <col min="33" max="33" width="30.33203125" customWidth="1"/>
    <col min="34" max="34" width="29.33203125" customWidth="1"/>
  </cols>
  <sheetData>
    <row r="1" spans="1:34" x14ac:dyDescent="0.3">
      <c r="A1" t="s">
        <v>77</v>
      </c>
      <c r="B1" t="s">
        <v>0</v>
      </c>
      <c r="C1" t="s">
        <v>78</v>
      </c>
      <c r="D1" t="s">
        <v>106</v>
      </c>
      <c r="E1" t="s">
        <v>107</v>
      </c>
    </row>
    <row r="2" spans="1:34" x14ac:dyDescent="0.3">
      <c r="A2">
        <v>2001827036</v>
      </c>
      <c r="B2" t="s">
        <v>25</v>
      </c>
      <c r="C2">
        <v>1</v>
      </c>
      <c r="D2">
        <f>_xlfn.XLOOKUP(Order_Report[[#This Row],[SKU]],SKU_Master[SKU],SKU_Master[Weight (g)],"not found")</f>
        <v>127</v>
      </c>
      <c r="E2">
        <f>Order_Report[[#This Row],[order weight ]]*Order_Report[[#This Row],[Order Qty]]</f>
        <v>127</v>
      </c>
      <c r="G2">
        <f>SUM(E2:E9)</f>
        <v>1676</v>
      </c>
      <c r="L2">
        <f>SUMIFS(Order_Report[_total weight ],Order_Report[ExternOrderNo],A:A)</f>
        <v>1676</v>
      </c>
      <c r="N2" s="1" t="s">
        <v>108</v>
      </c>
      <c r="O2" t="s">
        <v>109</v>
      </c>
      <c r="P2" t="s">
        <v>110</v>
      </c>
      <c r="Q2" t="s">
        <v>114</v>
      </c>
      <c r="R2" t="s">
        <v>115</v>
      </c>
      <c r="S2" t="s">
        <v>116</v>
      </c>
      <c r="T2" t="s">
        <v>121</v>
      </c>
      <c r="U2" t="s">
        <v>122</v>
      </c>
      <c r="V2" t="s">
        <v>117</v>
      </c>
      <c r="W2" t="s">
        <v>118</v>
      </c>
      <c r="X2" t="s">
        <v>126</v>
      </c>
      <c r="Y2" s="3" t="s">
        <v>127</v>
      </c>
      <c r="Z2" s="3" t="s">
        <v>133</v>
      </c>
    </row>
    <row r="3" spans="1:34" x14ac:dyDescent="0.3">
      <c r="A3">
        <v>2001827036</v>
      </c>
      <c r="B3" t="s">
        <v>39</v>
      </c>
      <c r="C3">
        <v>1</v>
      </c>
      <c r="D3">
        <f>_xlfn.XLOOKUP(Order_Report[[#This Row],[SKU]],SKU_Master[SKU],SKU_Master[Weight (g)],"not found")</f>
        <v>150</v>
      </c>
      <c r="E3">
        <f>Order_Report[[#This Row],[order weight ]]*Order_Report[[#This Row],[Order Qty]]</f>
        <v>150</v>
      </c>
      <c r="N3" s="2">
        <v>2001827036</v>
      </c>
      <c r="O3">
        <f>SUMIFS(Order_Report[_total weight ],Order_Report[ExternOrderNo],$N3)</f>
        <v>1676</v>
      </c>
      <c r="P3">
        <f>CEILING(Table8[[#This Row],[Total weight ]],0.5)</f>
        <v>1676</v>
      </c>
      <c r="Q3" t="str">
        <f>_xlfn.XLOOKUP(Table8[[#This Row],[Ext Order No]],Invoice[Order ID],Invoice[Zone])</f>
        <v>b</v>
      </c>
      <c r="R3" t="str">
        <f>IF(pincodes[[#Headers],[Matching status]]="matched",'(abc)pincodes'!C2,'(abc)pincodes'!C2)</f>
        <v>d</v>
      </c>
      <c r="S3" t="str">
        <f>_xlfn.XLOOKUP(Table8[[#This Row],[ABC area ]],Invoice[Zone],Invoice[Type of Shipment])</f>
        <v>Forward charges</v>
      </c>
      <c r="T3" t="s">
        <v>119</v>
      </c>
      <c r="V3">
        <f>_xlfn.XLOOKUP(Table8[[#This Row],[Ext Order No]],Invoice[Order ID],Invoice[Billing Amount (Rs.)],"not found")</f>
        <v>117.9</v>
      </c>
      <c r="W3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">
        <f>_xlfn.XLOOKUP(Table8[[#This Row],[Ext Order No]],Invoice[Order ID],Invoice[AWB Code])</f>
        <v>1091122418320</v>
      </c>
      <c r="Y3" s="4">
        <f>((Table8[[#This Row],[Courirer Price ]]-Table8[[#This Row],[Expected Price]])/Table8[[#This Row],[Expected Price]])*100</f>
        <v>159.69162995594715</v>
      </c>
      <c r="Z3" s="4" t="str">
        <f>IF(Table8[[#This Row],[%change]]&gt;0,"Over Charged",IF(Table8[[#This Row],[%change]]=0,"Perfectly Charged",IF(Table8[[#This Row],[%change]]&lt;0,"Under Charged")))</f>
        <v>Over Charged</v>
      </c>
      <c r="AE3" t="s">
        <v>128</v>
      </c>
      <c r="AF3" t="s">
        <v>129</v>
      </c>
      <c r="AG3" t="s">
        <v>134</v>
      </c>
      <c r="AH3" t="s">
        <v>135</v>
      </c>
    </row>
    <row r="4" spans="1:34" ht="19.8" customHeight="1" x14ac:dyDescent="0.3">
      <c r="A4">
        <v>2001827036</v>
      </c>
      <c r="B4" t="s">
        <v>40</v>
      </c>
      <c r="C4">
        <v>1</v>
      </c>
      <c r="D4">
        <f>_xlfn.XLOOKUP(Order_Report[[#This Row],[SKU]],SKU_Master[SKU],SKU_Master[Weight (g)],"not found")</f>
        <v>100</v>
      </c>
      <c r="E4">
        <f>Order_Report[[#This Row],[order weight ]]*Order_Report[[#This Row],[Order Qty]]</f>
        <v>100</v>
      </c>
      <c r="N4" s="1">
        <v>2001825261</v>
      </c>
      <c r="O4">
        <f>SUMIFS(Order_Report[_total weight ],Order_Report[ExternOrderNo],$N4)</f>
        <v>1557</v>
      </c>
      <c r="P4">
        <f>CEILING(Table8[[#This Row],[Total weight ]],0.5)</f>
        <v>1557</v>
      </c>
      <c r="Q4" t="str">
        <f>_xlfn.XLOOKUP(Table8[[#This Row],[Ext Order No]],Invoice[Order ID],Invoice[Zone])</f>
        <v>d</v>
      </c>
      <c r="R4" t="str">
        <f>IF(pincodes[[#Headers],[Matching status]]="matched",'(abc)pincodes'!C3,'(abc)pincodes'!C3)</f>
        <v>d</v>
      </c>
      <c r="S4" t="str">
        <f>_xlfn.XLOOKUP(Table8[[#This Row],[ABC area ]],Invoice[Zone],Invoice[Type of Shipment])</f>
        <v>Forward charges</v>
      </c>
      <c r="T4" t="s">
        <v>119</v>
      </c>
      <c r="V4">
        <f>_xlfn.XLOOKUP(Table8[[#This Row],[Ext Order No]],Invoice[Order ID],Invoice[Billing Amount (Rs.)],"not found")</f>
        <v>345</v>
      </c>
      <c r="W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">
        <f>_xlfn.XLOOKUP(Table8[[#This Row],[Ext Order No]],Invoice[Order ID],Invoice[AWB Code])</f>
        <v>1091121981575</v>
      </c>
      <c r="Y4" s="4">
        <f>((Table8[[#This Row],[Courirer Price ]]-Table8[[#This Row],[Expected Price]])/Table8[[#This Row],[Expected Price]])*100</f>
        <v>659.91189427312781</v>
      </c>
      <c r="Z4" s="4" t="str">
        <f>IF(Table8[[#This Row],[%change]]&gt;0,"Over Charged",IF(Table8[[#This Row],[%change]]=0,"Perfectly Charged",IF(Table8[[#This Row],[%change]]&lt;0,"Under Charged")))</f>
        <v>Over Charged</v>
      </c>
      <c r="AE4" t="s">
        <v>130</v>
      </c>
      <c r="AF4">
        <f>COUNTIF(Table8[Overall Status],"Perfectly Charged")</f>
        <v>9</v>
      </c>
      <c r="AG4">
        <f>SUMIF(Table8[Overall Status],"Perfectly Charged",Table8[Expected Price])</f>
        <v>383.79999999999995</v>
      </c>
      <c r="AH4">
        <f>SUMIF(Table8[Overall Status],"Perfectly Charged",Table8[[Courirer Price ]])</f>
        <v>383.79999999999995</v>
      </c>
    </row>
    <row r="5" spans="1:34" x14ac:dyDescent="0.3">
      <c r="A5">
        <v>2001827036</v>
      </c>
      <c r="B5" t="s">
        <v>15</v>
      </c>
      <c r="C5">
        <v>1</v>
      </c>
      <c r="D5">
        <f>_xlfn.XLOOKUP(Order_Report[[#This Row],[SKU]],SKU_Master[SKU],SKU_Master[Weight (g)],"not found")</f>
        <v>165</v>
      </c>
      <c r="E5">
        <f>Order_Report[[#This Row],[order weight ]]*Order_Report[[#This Row],[Order Qty]]</f>
        <v>165</v>
      </c>
      <c r="N5" s="2">
        <v>2001823564</v>
      </c>
      <c r="O5">
        <f>SUMIFS(Order_Report[_total weight ],Order_Report[ExternOrderNo],$N5)</f>
        <v>672</v>
      </c>
      <c r="P5">
        <f>CEILING(Table8[[#This Row],[Total weight ]],0.5)</f>
        <v>672</v>
      </c>
      <c r="Q5" t="str">
        <f>_xlfn.XLOOKUP(Table8[[#This Row],[Ext Order No]],Invoice[Order ID],Invoice[Zone])</f>
        <v>d</v>
      </c>
      <c r="R5" t="str">
        <f>IF(pincodes[[#Headers],[Matching status]]="matched",'(abc)pincodes'!C4,'(abc)pincodes'!C4)</f>
        <v>d</v>
      </c>
      <c r="S5" t="str">
        <f>_xlfn.XLOOKUP(Table8[[#This Row],[ABC area ]],Invoice[Zone],Invoice[Type of Shipment])</f>
        <v>Forward charges</v>
      </c>
      <c r="T5" t="s">
        <v>119</v>
      </c>
      <c r="V5">
        <f>_xlfn.XLOOKUP(Table8[[#This Row],[Ext Order No]],Invoice[Order ID],Invoice[Billing Amount (Rs.)],"not found")</f>
        <v>172.8</v>
      </c>
      <c r="W5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">
        <f>_xlfn.XLOOKUP(Table8[[#This Row],[Ext Order No]],Invoice[Order ID],Invoice[AWB Code])</f>
        <v>1091121666133</v>
      </c>
      <c r="Y5" s="4">
        <f>((Table8[[#This Row],[Courirer Price ]]-Table8[[#This Row],[Expected Price]])/Table8[[#This Row],[Expected Price]])*100</f>
        <v>280.61674008810576</v>
      </c>
      <c r="Z5" s="4" t="str">
        <f>IF(Table8[[#This Row],[%change]]&gt;0,"Over Charged",IF(Table8[[#This Row],[%change]]=0,"Perfectly Charged",IF(Table8[[#This Row],[%change]]&lt;0,"Under Charged")))</f>
        <v>Over Charged</v>
      </c>
      <c r="AE5" t="s">
        <v>131</v>
      </c>
      <c r="AF5">
        <f>COUNTIF(Table8[Overall Status],"Over Charged")</f>
        <v>94</v>
      </c>
      <c r="AG5">
        <f>SUMIF(Table8[Overall Status],"Over Charged",Table8[Expected Price])</f>
        <v>3622.6000000000013</v>
      </c>
      <c r="AH5">
        <f>SUMIF(Table8[Overall Status],"Over Charged",Table8[[Courirer Price ]])</f>
        <v>11100.300000000003</v>
      </c>
    </row>
    <row r="6" spans="1:34" x14ac:dyDescent="0.3">
      <c r="A6">
        <v>2001827036</v>
      </c>
      <c r="B6" t="s">
        <v>47</v>
      </c>
      <c r="C6">
        <v>1</v>
      </c>
      <c r="D6">
        <f>_xlfn.XLOOKUP(Order_Report[[#This Row],[SKU]],SKU_Master[SKU],SKU_Master[Weight (g)],"not found")</f>
        <v>350</v>
      </c>
      <c r="E6">
        <f>Order_Report[[#This Row],[order weight ]]*Order_Report[[#This Row],[Order Qty]]</f>
        <v>350</v>
      </c>
      <c r="N6" s="1">
        <v>2001822466</v>
      </c>
      <c r="O6">
        <f>SUMIFS(Order_Report[_total weight ],Order_Report[ExternOrderNo],$N6)</f>
        <v>1376</v>
      </c>
      <c r="P6">
        <f>CEILING(Table8[[#This Row],[Total weight ]],0.5)</f>
        <v>1376</v>
      </c>
      <c r="Q6" t="str">
        <f>_xlfn.XLOOKUP(Table8[[#This Row],[Ext Order No]],Invoice[Order ID],Invoice[Zone])</f>
        <v>d</v>
      </c>
      <c r="R6" t="str">
        <f>IF(pincodes[[#Headers],[Matching status]]="matched",'(abc)pincodes'!C5,'(abc)pincodes'!C5)</f>
        <v>b</v>
      </c>
      <c r="S6" t="str">
        <f>_xlfn.XLOOKUP(Table8[[#This Row],[ABC area ]],Invoice[Zone],Invoice[Type of Shipment])</f>
        <v>Forward charges</v>
      </c>
      <c r="T6" t="s">
        <v>119</v>
      </c>
      <c r="V6">
        <f>_xlfn.XLOOKUP(Table8[[#This Row],[Ext Order No]],Invoice[Order ID],Invoice[Billing Amount (Rs.)],"not found")</f>
        <v>135</v>
      </c>
      <c r="W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">
        <f>_xlfn.XLOOKUP(Table8[[#This Row],[Ext Order No]],Invoice[Order ID],Invoice[AWB Code])</f>
        <v>1091121305541</v>
      </c>
      <c r="Y6" s="4">
        <f>((Table8[[#This Row],[Courirer Price ]]-Table8[[#This Row],[Expected Price]])/Table8[[#This Row],[Expected Price]])*100</f>
        <v>309.09090909090907</v>
      </c>
      <c r="Z6" s="4" t="str">
        <f>IF(Table8[[#This Row],[%change]]&gt;0,"Over Charged",IF(Table8[[#This Row],[%change]]=0,"Perfectly Charged",IF(Table8[[#This Row],[%change]]&lt;0,"Under Charged")))</f>
        <v>Over Charged</v>
      </c>
      <c r="AE6" t="s">
        <v>132</v>
      </c>
      <c r="AF6">
        <f>COUNTIF(Table8[Overall Status],"Under Charged")</f>
        <v>4</v>
      </c>
      <c r="AG6">
        <f>SUMIF(Table8[Overall Status],"Under Charged",Table8[Expected Price])</f>
        <v>367.3</v>
      </c>
      <c r="AH6">
        <f>SUMIF(Table8[Overall Status],"Under Charged",Table8[[Courirer Price ]])</f>
        <v>274.7</v>
      </c>
    </row>
    <row r="7" spans="1:34" x14ac:dyDescent="0.3">
      <c r="A7">
        <v>2001827036</v>
      </c>
      <c r="B7" t="s">
        <v>58</v>
      </c>
      <c r="C7">
        <v>1</v>
      </c>
      <c r="D7">
        <f>_xlfn.XLOOKUP(Order_Report[[#This Row],[SKU]],SKU_Master[SKU],SKU_Master[Weight (g)],"not found")</f>
        <v>500</v>
      </c>
      <c r="E7">
        <f>Order_Report[[#This Row],[order weight ]]*Order_Report[[#This Row],[Order Qty]]</f>
        <v>500</v>
      </c>
      <c r="N7" s="1">
        <v>2001821995</v>
      </c>
      <c r="O7">
        <f>SUMIFS(Order_Report[_total weight ],Order_Report[ExternOrderNo],$N7)</f>
        <v>477</v>
      </c>
      <c r="P7">
        <f>CEILING(Table8[[#This Row],[Total weight ]],0.5)</f>
        <v>477</v>
      </c>
      <c r="Q7" t="str">
        <f>_xlfn.XLOOKUP(Table8[[#This Row],[Ext Order No]],Invoice[Order ID],Invoice[Zone])</f>
        <v>d</v>
      </c>
      <c r="R7" t="str">
        <f>IF(pincodes[[#Headers],[Matching status]]="matched",'(abc)pincodes'!C6,'(abc)pincodes'!C6)</f>
        <v>d</v>
      </c>
      <c r="S7" t="str">
        <f>_xlfn.XLOOKUP(Table8[[#This Row],[ABC area ]],Invoice[Zone],Invoice[Type of Shipment])</f>
        <v>Forward charges</v>
      </c>
      <c r="T7" t="s">
        <v>119</v>
      </c>
      <c r="V7">
        <f>_xlfn.XLOOKUP(Table8[[#This Row],[Ext Order No]],Invoice[Order ID],Invoice[Billing Amount (Rs.)],"not found")</f>
        <v>45.4</v>
      </c>
      <c r="W7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7">
        <f>_xlfn.XLOOKUP(Table8[[#This Row],[Ext Order No]],Invoice[Order ID],Invoice[AWB Code])</f>
        <v>1091121183730</v>
      </c>
      <c r="Y7" s="4">
        <f>((Table8[[#This Row],[Courirer Price ]]-Table8[[#This Row],[Expected Price]])/Table8[[#This Row],[Expected Price]])*100</f>
        <v>0</v>
      </c>
      <c r="Z7" s="4" t="str">
        <f>IF(Table8[[#This Row],[%change]]&gt;0,"Over Charged",IF(Table8[[#This Row],[%change]]=0,"Perfectly Charged",IF(Table8[[#This Row],[%change]]&lt;0,"Under Charged")))</f>
        <v>Perfectly Charged</v>
      </c>
    </row>
    <row r="8" spans="1:34" x14ac:dyDescent="0.3">
      <c r="A8">
        <v>2001827036</v>
      </c>
      <c r="B8" t="s">
        <v>21</v>
      </c>
      <c r="C8">
        <v>2</v>
      </c>
      <c r="D8">
        <f>_xlfn.XLOOKUP(Order_Report[[#This Row],[SKU]],SKU_Master[SKU],SKU_Master[Weight (g)],"not found")</f>
        <v>137</v>
      </c>
      <c r="E8">
        <f>Order_Report[[#This Row],[order weight ]]*Order_Report[[#This Row],[Order Qty]]</f>
        <v>274</v>
      </c>
      <c r="N8" s="1">
        <v>2001821766</v>
      </c>
      <c r="O8">
        <f>SUMIFS(Order_Report[_total weight ],Order_Report[ExternOrderNo],$N8)</f>
        <v>240</v>
      </c>
      <c r="P8">
        <f>CEILING(Table8[[#This Row],[Total weight ]],0.5)</f>
        <v>240</v>
      </c>
      <c r="Q8" t="str">
        <f>_xlfn.XLOOKUP(Table8[[#This Row],[Ext Order No]],Invoice[Order ID],Invoice[Zone])</f>
        <v>d</v>
      </c>
      <c r="R8" t="str">
        <f>IF(pincodes[[#Headers],[Matching status]]="matched",'(abc)pincodes'!C7,'(abc)pincodes'!C7)</f>
        <v>d</v>
      </c>
      <c r="S8" t="str">
        <f>_xlfn.XLOOKUP(Table8[[#This Row],[ABC area ]],Invoice[Zone],Invoice[Type of Shipment])</f>
        <v>Forward charges</v>
      </c>
      <c r="T8" t="s">
        <v>119</v>
      </c>
      <c r="V8">
        <f>_xlfn.XLOOKUP(Table8[[#This Row],[Ext Order No]],Invoice[Order ID],Invoice[Billing Amount (Rs.)],"not found")</f>
        <v>45.4</v>
      </c>
      <c r="W8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8">
        <f>_xlfn.XLOOKUP(Table8[[#This Row],[Ext Order No]],Invoice[Order ID],Invoice[AWB Code])</f>
        <v>1091121034641</v>
      </c>
      <c r="Y8" s="4">
        <f>((Table8[[#This Row],[Courirer Price ]]-Table8[[#This Row],[Expected Price]])/Table8[[#This Row],[Expected Price]])*100</f>
        <v>0</v>
      </c>
      <c r="Z8" s="4" t="str">
        <f>IF(Table8[[#This Row],[%change]]&gt;0,"Over Charged",IF(Table8[[#This Row],[%change]]=0,"Perfectly Charged",IF(Table8[[#This Row],[%change]]&lt;0,"Under Charged")))</f>
        <v>Perfectly Charged</v>
      </c>
    </row>
    <row r="9" spans="1:34" x14ac:dyDescent="0.3">
      <c r="A9">
        <v>2001827036</v>
      </c>
      <c r="B9" t="s">
        <v>70</v>
      </c>
      <c r="C9">
        <v>1</v>
      </c>
      <c r="D9">
        <f>_xlfn.XLOOKUP(Order_Report[[#This Row],[SKU]],SKU_Master[SKU],SKU_Master[Weight (g)],"not found")</f>
        <v>10</v>
      </c>
      <c r="E9">
        <f>Order_Report[[#This Row],[order weight ]]*Order_Report[[#This Row],[Order Qty]]</f>
        <v>10</v>
      </c>
      <c r="N9" s="2">
        <v>2001821750</v>
      </c>
      <c r="O9">
        <f>SUMIFS(Order_Report[_total weight ],Order_Report[ExternOrderNo],$N9)</f>
        <v>755</v>
      </c>
      <c r="P9">
        <f>CEILING(Table8[[#This Row],[Total weight ]],0.5)</f>
        <v>755</v>
      </c>
      <c r="Q9" t="str">
        <f>_xlfn.XLOOKUP(Table8[[#This Row],[Ext Order No]],Invoice[Order ID],Invoice[Zone])</f>
        <v>d</v>
      </c>
      <c r="R9" t="str">
        <f>IF(pincodes[[#Headers],[Matching status]]="matched",'(abc)pincodes'!C8,'(abc)pincodes'!C8)</f>
        <v>b</v>
      </c>
      <c r="S9" t="str">
        <f>_xlfn.XLOOKUP(Table8[[#This Row],[ABC area ]],Invoice[Zone],Invoice[Type of Shipment])</f>
        <v>Forward charges</v>
      </c>
      <c r="T9" t="s">
        <v>119</v>
      </c>
      <c r="V9">
        <f>_xlfn.XLOOKUP(Table8[[#This Row],[Ext Order No]],Invoice[Order ID],Invoice[Billing Amount (Rs.)],"not found")</f>
        <v>90.2</v>
      </c>
      <c r="W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">
        <f>_xlfn.XLOOKUP(Table8[[#This Row],[Ext Order No]],Invoice[Order ID],Invoice[AWB Code])</f>
        <v>1091121034350</v>
      </c>
      <c r="Y9" s="4">
        <f>((Table8[[#This Row],[Courirer Price ]]-Table8[[#This Row],[Expected Price]])/Table8[[#This Row],[Expected Price]])*100</f>
        <v>173.33333333333334</v>
      </c>
      <c r="Z9" s="4" t="str">
        <f>IF(Table8[[#This Row],[%change]]&gt;0,"Over Charged",IF(Table8[[#This Row],[%change]]=0,"Perfectly Charged",IF(Table8[[#This Row],[%change]]&lt;0,"Under Charged")))</f>
        <v>Over Charged</v>
      </c>
    </row>
    <row r="10" spans="1:34" x14ac:dyDescent="0.3">
      <c r="A10">
        <v>2001825261</v>
      </c>
      <c r="B10" t="s">
        <v>35</v>
      </c>
      <c r="C10">
        <v>4</v>
      </c>
      <c r="D10">
        <f>_xlfn.XLOOKUP(Order_Report[[#This Row],[SKU]],SKU_Master[SKU],SKU_Master[Weight (g)],"not found")</f>
        <v>112</v>
      </c>
      <c r="E10">
        <f>Order_Report[[#This Row],[order weight ]]*Order_Report[[#This Row],[Order Qty]]</f>
        <v>448</v>
      </c>
      <c r="N10" s="1">
        <v>2001821742</v>
      </c>
      <c r="O10">
        <f>SUMIFS(Order_Report[_total weight ],Order_Report[ExternOrderNo],$N10)</f>
        <v>240</v>
      </c>
      <c r="P10">
        <f>CEILING(Table8[[#This Row],[Total weight ]],0.5)</f>
        <v>240</v>
      </c>
      <c r="Q10" t="str">
        <f>_xlfn.XLOOKUP(Table8[[#This Row],[Ext Order No]],Invoice[Order ID],Invoice[Zone])</f>
        <v>d</v>
      </c>
      <c r="R10" t="str">
        <f>IF(pincodes[[#Headers],[Matching status]]="matched",'(abc)pincodes'!C9,'(abc)pincodes'!C9)</f>
        <v>b</v>
      </c>
      <c r="S10" t="str">
        <f>_xlfn.XLOOKUP(Table8[[#This Row],[ABC area ]],Invoice[Zone],Invoice[Type of Shipment])</f>
        <v>Forward charges</v>
      </c>
      <c r="T10" t="s">
        <v>119</v>
      </c>
      <c r="V10">
        <f>_xlfn.XLOOKUP(Table8[[#This Row],[Ext Order No]],Invoice[Order ID],Invoice[Billing Amount (Rs.)],"not found")</f>
        <v>45.4</v>
      </c>
      <c r="W1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">
        <f>_xlfn.XLOOKUP(Table8[[#This Row],[Ext Order No]],Invoice[Order ID],Invoice[AWB Code])</f>
        <v>1091121034114</v>
      </c>
      <c r="Y10" s="4">
        <f>((Table8[[#This Row],[Courirer Price ]]-Table8[[#This Row],[Expected Price]])/Table8[[#This Row],[Expected Price]])*100</f>
        <v>37.575757575757571</v>
      </c>
      <c r="Z10" s="4" t="str">
        <f>IF(Table8[[#This Row],[%change]]&gt;0,"Over Charged",IF(Table8[[#This Row],[%change]]=0,"Perfectly Charged",IF(Table8[[#This Row],[%change]]&lt;0,"Under Charged")))</f>
        <v>Over Charged</v>
      </c>
    </row>
    <row r="11" spans="1:34" x14ac:dyDescent="0.3">
      <c r="A11">
        <v>2001825261</v>
      </c>
      <c r="B11" t="s">
        <v>54</v>
      </c>
      <c r="C11">
        <v>4</v>
      </c>
      <c r="D11">
        <f>_xlfn.XLOOKUP(Order_Report[[#This Row],[SKU]],SKU_Master[SKU],SKU_Master[Weight (g)],"not found")</f>
        <v>112</v>
      </c>
      <c r="E11">
        <f>Order_Report[[#This Row],[order weight ]]*Order_Report[[#This Row],[Order Qty]]</f>
        <v>448</v>
      </c>
      <c r="N11" s="2">
        <v>2001821679</v>
      </c>
      <c r="O11">
        <f>SUMIFS(Order_Report[_total weight ],Order_Report[ExternOrderNo],$N11)</f>
        <v>165</v>
      </c>
      <c r="P11">
        <f>CEILING(Table8[[#This Row],[Total weight ]],0.5)</f>
        <v>165</v>
      </c>
      <c r="Q11" t="str">
        <f>_xlfn.XLOOKUP(Table8[[#This Row],[Ext Order No]],Invoice[Order ID],Invoice[Zone])</f>
        <v>d</v>
      </c>
      <c r="R11" t="str">
        <f>IF(pincodes[[#Headers],[Matching status]]="matched",'(abc)pincodes'!C10,'(abc)pincodes'!C10)</f>
        <v>d</v>
      </c>
      <c r="S11" t="str">
        <f>_xlfn.XLOOKUP(Table8[[#This Row],[ABC area ]],Invoice[Zone],Invoice[Type of Shipment])</f>
        <v>Forward charges</v>
      </c>
      <c r="T11" t="s">
        <v>119</v>
      </c>
      <c r="V11">
        <f>_xlfn.XLOOKUP(Table8[[#This Row],[Ext Order No]],Invoice[Order ID],Invoice[Billing Amount (Rs.)],"not found")</f>
        <v>45.4</v>
      </c>
      <c r="W11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1">
        <f>_xlfn.XLOOKUP(Table8[[#This Row],[Ext Order No]],Invoice[Order ID],Invoice[AWB Code])</f>
        <v>1091121031745</v>
      </c>
      <c r="Y11" s="4">
        <f>((Table8[[#This Row],[Courirer Price ]]-Table8[[#This Row],[Expected Price]])/Table8[[#This Row],[Expected Price]])*100</f>
        <v>0</v>
      </c>
      <c r="Z11" s="4" t="str">
        <f>IF(Table8[[#This Row],[%change]]&gt;0,"Over Charged",IF(Table8[[#This Row],[%change]]=0,"Perfectly Charged",IF(Table8[[#This Row],[%change]]&lt;0,"Under Charged")))</f>
        <v>Perfectly Charged</v>
      </c>
    </row>
    <row r="12" spans="1:34" x14ac:dyDescent="0.3">
      <c r="A12">
        <v>2001825261</v>
      </c>
      <c r="B12" t="s">
        <v>21</v>
      </c>
      <c r="C12">
        <v>3</v>
      </c>
      <c r="D12">
        <f>_xlfn.XLOOKUP(Order_Report[[#This Row],[SKU]],SKU_Master[SKU],SKU_Master[Weight (g)],"not found")</f>
        <v>137</v>
      </c>
      <c r="E12">
        <f>Order_Report[[#This Row],[order weight ]]*Order_Report[[#This Row],[Order Qty]]</f>
        <v>411</v>
      </c>
      <c r="N12" s="1">
        <v>2001821502</v>
      </c>
      <c r="O12">
        <f>SUMIFS(Order_Report[_total weight ],Order_Report[ExternOrderNo],$N12)</f>
        <v>558</v>
      </c>
      <c r="P12">
        <f>CEILING(Table8[[#This Row],[Total weight ]],0.5)</f>
        <v>558</v>
      </c>
      <c r="Q12" t="str">
        <f>_xlfn.XLOOKUP(Table8[[#This Row],[Ext Order No]],Invoice[Order ID],Invoice[Zone])</f>
        <v>d</v>
      </c>
      <c r="R12" t="str">
        <f>IF(pincodes[[#Headers],[Matching status]]="matched",'(abc)pincodes'!C11,'(abc)pincodes'!C11)</f>
        <v>d</v>
      </c>
      <c r="S12" t="str">
        <f>_xlfn.XLOOKUP(Table8[[#This Row],[ABC area ]],Invoice[Zone],Invoice[Type of Shipment])</f>
        <v>Forward charges</v>
      </c>
      <c r="T12" t="s">
        <v>119</v>
      </c>
      <c r="V12">
        <f>_xlfn.XLOOKUP(Table8[[#This Row],[Ext Order No]],Invoice[Order ID],Invoice[Billing Amount (Rs.)],"not found")</f>
        <v>90.2</v>
      </c>
      <c r="W12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2">
        <f>_xlfn.XLOOKUP(Table8[[#This Row],[Ext Order No]],Invoice[Order ID],Invoice[AWB Code])</f>
        <v>1091121185863</v>
      </c>
      <c r="Y12" s="4">
        <f>((Table8[[#This Row],[Courirer Price ]]-Table8[[#This Row],[Expected Price]])/Table8[[#This Row],[Expected Price]])*100</f>
        <v>98.678414096916313</v>
      </c>
      <c r="Z12" s="4" t="str">
        <f>IF(Table8[[#This Row],[%change]]&gt;0,"Over Charged",IF(Table8[[#This Row],[%change]]=0,"Perfectly Charged",IF(Table8[[#This Row],[%change]]&lt;0,"Under Charged")))</f>
        <v>Over Charged</v>
      </c>
    </row>
    <row r="13" spans="1:34" x14ac:dyDescent="0.3">
      <c r="A13">
        <v>2001825261</v>
      </c>
      <c r="B13" t="s">
        <v>23</v>
      </c>
      <c r="C13">
        <v>1</v>
      </c>
      <c r="D13">
        <f>_xlfn.XLOOKUP(Order_Report[[#This Row],[SKU]],SKU_Master[SKU],SKU_Master[Weight (g)],"not found")</f>
        <v>240</v>
      </c>
      <c r="E13">
        <f>Order_Report[[#This Row],[order weight ]]*Order_Report[[#This Row],[Order Qty]]</f>
        <v>240</v>
      </c>
      <c r="N13" s="2">
        <v>2001821284</v>
      </c>
      <c r="O13">
        <f>SUMIFS(Order_Report[_total weight ],Order_Report[ExternOrderNo],$N13)</f>
        <v>177</v>
      </c>
      <c r="P13">
        <f>CEILING(Table8[[#This Row],[Total weight ]],0.5)</f>
        <v>177</v>
      </c>
      <c r="Q13" t="str">
        <f>_xlfn.XLOOKUP(Table8[[#This Row],[Ext Order No]],Invoice[Order ID],Invoice[Zone])</f>
        <v>d</v>
      </c>
      <c r="R13" t="str">
        <f>IF(pincodes[[#Headers],[Matching status]]="matched",'(abc)pincodes'!C12,'(abc)pincodes'!C12)</f>
        <v>b</v>
      </c>
      <c r="S13" t="str">
        <f>_xlfn.XLOOKUP(Table8[[#This Row],[ABC area ]],Invoice[Zone],Invoice[Type of Shipment])</f>
        <v>Forward charges</v>
      </c>
      <c r="T13" t="s">
        <v>119</v>
      </c>
      <c r="V13">
        <f>_xlfn.XLOOKUP(Table8[[#This Row],[Ext Order No]],Invoice[Order ID],Invoice[Billing Amount (Rs.)],"not found")</f>
        <v>45.4</v>
      </c>
      <c r="W1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3">
        <f>_xlfn.XLOOKUP(Table8[[#This Row],[Ext Order No]],Invoice[Order ID],Invoice[AWB Code])</f>
        <v>1091120962515</v>
      </c>
      <c r="Y13" s="4">
        <f>((Table8[[#This Row],[Courirer Price ]]-Table8[[#This Row],[Expected Price]])/Table8[[#This Row],[Expected Price]])*100</f>
        <v>37.575757575757571</v>
      </c>
      <c r="Z13" s="4" t="str">
        <f>IF(Table8[[#This Row],[%change]]&gt;0,"Over Charged",IF(Table8[[#This Row],[%change]]=0,"Perfectly Charged",IF(Table8[[#This Row],[%change]]&lt;0,"Under Charged")))</f>
        <v>Over Charged</v>
      </c>
    </row>
    <row r="14" spans="1:34" x14ac:dyDescent="0.3">
      <c r="A14">
        <v>2001825261</v>
      </c>
      <c r="B14" t="s">
        <v>70</v>
      </c>
      <c r="C14">
        <v>1</v>
      </c>
      <c r="D14">
        <f>_xlfn.XLOOKUP(Order_Report[[#This Row],[SKU]],SKU_Master[SKU],SKU_Master[Weight (g)],"not found")</f>
        <v>10</v>
      </c>
      <c r="E14">
        <f>Order_Report[[#This Row],[order weight ]]*Order_Report[[#This Row],[Order Qty]]</f>
        <v>10</v>
      </c>
      <c r="N14" s="2">
        <v>2001821190</v>
      </c>
      <c r="O14">
        <f>SUMIFS(Order_Report[_total weight ],Order_Report[ExternOrderNo],$N14)</f>
        <v>1200</v>
      </c>
      <c r="P14">
        <f>CEILING(Table8[[#This Row],[Total weight ]],0.5)</f>
        <v>1200</v>
      </c>
      <c r="Q14" t="str">
        <f>_xlfn.XLOOKUP(Table8[[#This Row],[Ext Order No]],Invoice[Order ID],Invoice[Zone])</f>
        <v>d</v>
      </c>
      <c r="R14" t="str">
        <f>IF(pincodes[[#Headers],[Matching status]]="matched",'(abc)pincodes'!C13,'(abc)pincodes'!C13)</f>
        <v>d</v>
      </c>
      <c r="S14" t="str">
        <f>_xlfn.XLOOKUP(Table8[[#This Row],[ABC area ]],Invoice[Zone],Invoice[Type of Shipment])</f>
        <v>Forward charges</v>
      </c>
      <c r="T14" t="s">
        <v>119</v>
      </c>
      <c r="V14">
        <f>_xlfn.XLOOKUP(Table8[[#This Row],[Ext Order No]],Invoice[Order ID],Invoice[Billing Amount (Rs.)],"not found")</f>
        <v>258.89999999999998</v>
      </c>
      <c r="W1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4">
        <f>_xlfn.XLOOKUP(Table8[[#This Row],[Ext Order No]],Invoice[Order ID],Invoice[AWB Code])</f>
        <v>1091120959015</v>
      </c>
      <c r="Y14" s="4">
        <f>((Table8[[#This Row],[Courirer Price ]]-Table8[[#This Row],[Expected Price]])/Table8[[#This Row],[Expected Price]])*100</f>
        <v>470.26431718061667</v>
      </c>
      <c r="Z14" s="4" t="str">
        <f>IF(Table8[[#This Row],[%change]]&gt;0,"Over Charged",IF(Table8[[#This Row],[%change]]=0,"Perfectly Charged",IF(Table8[[#This Row],[%change]]&lt;0,"Under Charged")))</f>
        <v>Over Charged</v>
      </c>
    </row>
    <row r="15" spans="1:34" x14ac:dyDescent="0.3">
      <c r="A15">
        <v>2001823564</v>
      </c>
      <c r="B15" t="s">
        <v>54</v>
      </c>
      <c r="C15">
        <v>2</v>
      </c>
      <c r="D15">
        <f>_xlfn.XLOOKUP(Order_Report[[#This Row],[SKU]],SKU_Master[SKU],SKU_Master[Weight (g)],"not found")</f>
        <v>112</v>
      </c>
      <c r="E15">
        <f>Order_Report[[#This Row],[order weight ]]*Order_Report[[#This Row],[Order Qty]]</f>
        <v>224</v>
      </c>
      <c r="N15" s="2">
        <v>2001821185</v>
      </c>
      <c r="O15">
        <f>SUMIFS(Order_Report[_total weight ],Order_Report[ExternOrderNo],$N15)</f>
        <v>2098</v>
      </c>
      <c r="P15">
        <f>CEILING(Table8[[#This Row],[Total weight ]],0.5)</f>
        <v>2098</v>
      </c>
      <c r="Q15" t="str">
        <f>_xlfn.XLOOKUP(Table8[[#This Row],[Ext Order No]],Invoice[Order ID],Invoice[Zone])</f>
        <v>d</v>
      </c>
      <c r="R15" t="str">
        <f>IF(pincodes[[#Headers],[Matching status]]="matched",'(abc)pincodes'!C14,'(abc)pincodes'!C14)</f>
        <v>b</v>
      </c>
      <c r="S15" t="str">
        <f>_xlfn.XLOOKUP(Table8[[#This Row],[ABC area ]],Invoice[Zone],Invoice[Type of Shipment])</f>
        <v>Forward charges</v>
      </c>
      <c r="T15" t="s">
        <v>119</v>
      </c>
      <c r="V15">
        <f>_xlfn.XLOOKUP(Table8[[#This Row],[Ext Order No]],Invoice[Order ID],Invoice[Billing Amount (Rs.)],"not found")</f>
        <v>224.6</v>
      </c>
      <c r="W1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5">
        <f>_xlfn.XLOOKUP(Table8[[#This Row],[Ext Order No]],Invoice[Order ID],Invoice[AWB Code])</f>
        <v>1091120959225</v>
      </c>
      <c r="Y15" s="4">
        <f>((Table8[[#This Row],[Courirer Price ]]-Table8[[#This Row],[Expected Price]])/Table8[[#This Row],[Expected Price]])*100</f>
        <v>580.60606060606062</v>
      </c>
      <c r="Z15" s="4" t="str">
        <f>IF(Table8[[#This Row],[%change]]&gt;0,"Over Charged",IF(Table8[[#This Row],[%change]]=0,"Perfectly Charged",IF(Table8[[#This Row],[%change]]&lt;0,"Under Charged")))</f>
        <v>Over Charged</v>
      </c>
    </row>
    <row r="16" spans="1:34" x14ac:dyDescent="0.3">
      <c r="A16">
        <v>2001823564</v>
      </c>
      <c r="B16" t="s">
        <v>36</v>
      </c>
      <c r="C16">
        <v>2</v>
      </c>
      <c r="D16">
        <f>_xlfn.XLOOKUP(Order_Report[[#This Row],[SKU]],SKU_Master[SKU],SKU_Master[Weight (g)],"not found")</f>
        <v>112</v>
      </c>
      <c r="E16">
        <f>Order_Report[[#This Row],[order weight ]]*Order_Report[[#This Row],[Order Qty]]</f>
        <v>224</v>
      </c>
      <c r="N16" s="2">
        <v>2001820978</v>
      </c>
      <c r="O16">
        <f>SUMIFS(Order_Report[_total weight ],Order_Report[ExternOrderNo],$N16)</f>
        <v>515</v>
      </c>
      <c r="P16">
        <f>CEILING(Table8[[#This Row],[Total weight ]],0.5)</f>
        <v>515</v>
      </c>
      <c r="Q16" t="str">
        <f>_xlfn.XLOOKUP(Table8[[#This Row],[Ext Order No]],Invoice[Order ID],Invoice[Zone])</f>
        <v>d</v>
      </c>
      <c r="R16" t="str">
        <f>IF(pincodes[[#Headers],[Matching status]]="matched",'(abc)pincodes'!C15,'(abc)pincodes'!C15)</f>
        <v>d</v>
      </c>
      <c r="S16" t="str">
        <f>_xlfn.XLOOKUP(Table8[[#This Row],[ABC area ]],Invoice[Zone],Invoice[Type of Shipment])</f>
        <v>Forward charges</v>
      </c>
      <c r="T16" t="s">
        <v>119</v>
      </c>
      <c r="V16">
        <f>_xlfn.XLOOKUP(Table8[[#This Row],[Ext Order No]],Invoice[Order ID],Invoice[Billing Amount (Rs.)],"not found")</f>
        <v>45.4</v>
      </c>
      <c r="W16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6">
        <f>_xlfn.XLOOKUP(Table8[[#This Row],[Ext Order No]],Invoice[Order ID],Invoice[AWB Code])</f>
        <v>1091120922803</v>
      </c>
      <c r="Y16" s="4">
        <f>((Table8[[#This Row],[Courirer Price ]]-Table8[[#This Row],[Expected Price]])/Table8[[#This Row],[Expected Price]])*100</f>
        <v>0</v>
      </c>
      <c r="Z16" s="4" t="str">
        <f>IF(Table8[[#This Row],[%change]]&gt;0,"Over Charged",IF(Table8[[#This Row],[%change]]=0,"Perfectly Charged",IF(Table8[[#This Row],[%change]]&lt;0,"Under Charged")))</f>
        <v>Perfectly Charged</v>
      </c>
    </row>
    <row r="17" spans="1:26" x14ac:dyDescent="0.3">
      <c r="A17">
        <v>2001823564</v>
      </c>
      <c r="B17" t="s">
        <v>35</v>
      </c>
      <c r="C17">
        <v>2</v>
      </c>
      <c r="D17">
        <f>_xlfn.XLOOKUP(Order_Report[[#This Row],[SKU]],SKU_Master[SKU],SKU_Master[Weight (g)],"not found")</f>
        <v>112</v>
      </c>
      <c r="E17">
        <f>Order_Report[[#This Row],[order weight ]]*Order_Report[[#This Row],[Order Qty]]</f>
        <v>224</v>
      </c>
      <c r="N17" s="2">
        <v>2001820690</v>
      </c>
      <c r="O17">
        <f>SUMIFS(Order_Report[_total weight ],Order_Report[ExternOrderNo],$N17)</f>
        <v>65</v>
      </c>
      <c r="P17">
        <f>CEILING(Table8[[#This Row],[Total weight ]],0.5)</f>
        <v>65</v>
      </c>
      <c r="Q17" t="str">
        <f>_xlfn.XLOOKUP(Table8[[#This Row],[Ext Order No]],Invoice[Order ID],Invoice[Zone])</f>
        <v>d</v>
      </c>
      <c r="R17" t="str">
        <f>IF(pincodes[[#Headers],[Matching status]]="matched",'(abc)pincodes'!C16,'(abc)pincodes'!C16)</f>
        <v>d</v>
      </c>
      <c r="S17" t="str">
        <f>_xlfn.XLOOKUP(Table8[[#This Row],[ABC area ]],Invoice[Zone],Invoice[Type of Shipment])</f>
        <v>Forward charges</v>
      </c>
      <c r="T17" t="s">
        <v>119</v>
      </c>
      <c r="V17">
        <f>_xlfn.XLOOKUP(Table8[[#This Row],[Ext Order No]],Invoice[Order ID],Invoice[Billing Amount (Rs.)],"not found")</f>
        <v>45.4</v>
      </c>
      <c r="W17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7">
        <f>_xlfn.XLOOKUP(Table8[[#This Row],[Ext Order No]],Invoice[Order ID],Invoice[AWB Code])</f>
        <v>1091121306101</v>
      </c>
      <c r="Y17" s="4">
        <f>((Table8[[#This Row],[Courirer Price ]]-Table8[[#This Row],[Expected Price]])/Table8[[#This Row],[Expected Price]])*100</f>
        <v>0</v>
      </c>
      <c r="Z17" s="4" t="str">
        <f>IF(Table8[[#This Row],[%change]]&gt;0,"Over Charged",IF(Table8[[#This Row],[%change]]=0,"Perfectly Charged",IF(Table8[[#This Row],[%change]]&lt;0,"Under Charged")))</f>
        <v>Perfectly Charged</v>
      </c>
    </row>
    <row r="18" spans="1:26" x14ac:dyDescent="0.3">
      <c r="A18">
        <v>2001822466</v>
      </c>
      <c r="B18" t="s">
        <v>62</v>
      </c>
      <c r="C18">
        <v>2</v>
      </c>
      <c r="D18">
        <f>_xlfn.XLOOKUP(Order_Report[[#This Row],[SKU]],SKU_Master[SKU],SKU_Master[Weight (g)],"not found")</f>
        <v>240</v>
      </c>
      <c r="E18">
        <f>Order_Report[[#This Row],[order weight ]]*Order_Report[[#This Row],[Order Qty]]</f>
        <v>480</v>
      </c>
      <c r="N18" s="1">
        <v>2001819252</v>
      </c>
      <c r="O18">
        <f>SUMIFS(Order_Report[_total weight ],Order_Report[ExternOrderNo],$N18)</f>
        <v>270</v>
      </c>
      <c r="P18">
        <f>CEILING(Table8[[#This Row],[Total weight ]],0.5)</f>
        <v>270</v>
      </c>
      <c r="Q18" t="str">
        <f>_xlfn.XLOOKUP(Table8[[#This Row],[Ext Order No]],Invoice[Order ID],Invoice[Zone])</f>
        <v>b</v>
      </c>
      <c r="R18" t="str">
        <f>IF(pincodes[[#Headers],[Matching status]]="matched",'(abc)pincodes'!C17,'(abc)pincodes'!C17)</f>
        <v>d</v>
      </c>
      <c r="S18" t="str">
        <f>_xlfn.XLOOKUP(Table8[[#This Row],[ABC area ]],Invoice[Zone],Invoice[Type of Shipment])</f>
        <v>Forward charges</v>
      </c>
      <c r="T18" t="s">
        <v>119</v>
      </c>
      <c r="V18">
        <f>_xlfn.XLOOKUP(Table8[[#This Row],[Ext Order No]],Invoice[Order ID],Invoice[Billing Amount (Rs.)],"not found")</f>
        <v>33</v>
      </c>
      <c r="W18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8">
        <f>_xlfn.XLOOKUP(Table8[[#This Row],[Ext Order No]],Invoice[Order ID],Invoice[AWB Code])</f>
        <v>1091120352712</v>
      </c>
      <c r="Y18" s="4">
        <f>((Table8[[#This Row],[Courirer Price ]]-Table8[[#This Row],[Expected Price]])/Table8[[#This Row],[Expected Price]])*100</f>
        <v>-27.312775330396473</v>
      </c>
      <c r="Z18" s="4" t="str">
        <f>IF(Table8[[#This Row],[%change]]&gt;0,"Over Charged",IF(Table8[[#This Row],[%change]]=0,"Perfectly Charged",IF(Table8[[#This Row],[%change]]&lt;0,"Under Charged")))</f>
        <v>Under Charged</v>
      </c>
    </row>
    <row r="19" spans="1:26" x14ac:dyDescent="0.3">
      <c r="A19">
        <v>2001822466</v>
      </c>
      <c r="B19" t="s">
        <v>54</v>
      </c>
      <c r="C19">
        <v>8</v>
      </c>
      <c r="D19">
        <f>_xlfn.XLOOKUP(Order_Report[[#This Row],[SKU]],SKU_Master[SKU],SKU_Master[Weight (g)],"not found")</f>
        <v>112</v>
      </c>
      <c r="E19">
        <f>Order_Report[[#This Row],[order weight ]]*Order_Report[[#This Row],[Order Qty]]</f>
        <v>896</v>
      </c>
      <c r="N19" s="2">
        <v>2001818390</v>
      </c>
      <c r="O19">
        <f>SUMIFS(Order_Report[_total weight ],Order_Report[ExternOrderNo],$N19)</f>
        <v>841</v>
      </c>
      <c r="P19">
        <f>CEILING(Table8[[#This Row],[Total weight ]],0.5)</f>
        <v>841</v>
      </c>
      <c r="Q19" t="str">
        <f>_xlfn.XLOOKUP(Table8[[#This Row],[Ext Order No]],Invoice[Order ID],Invoice[Zone])</f>
        <v>e</v>
      </c>
      <c r="R19" t="str">
        <f>IF(pincodes[[#Headers],[Matching status]]="matched",'(abc)pincodes'!C18,'(abc)pincodes'!C18)</f>
        <v>d</v>
      </c>
      <c r="S19" t="str">
        <f>_xlfn.XLOOKUP(Table8[[#This Row],[ABC area ]],Invoice[Zone],Invoice[Type of Shipment])</f>
        <v>Forward charges</v>
      </c>
      <c r="T19" t="s">
        <v>119</v>
      </c>
      <c r="V19">
        <f>_xlfn.XLOOKUP(Table8[[#This Row],[Ext Order No]],Invoice[Order ID],Invoice[Billing Amount (Rs.)],"not found")</f>
        <v>213.5</v>
      </c>
      <c r="W19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19">
        <f>_xlfn.XLOOKUP(Table8[[#This Row],[Ext Order No]],Invoice[Order ID],Invoice[AWB Code])</f>
        <v>1091120014461</v>
      </c>
      <c r="Y19" s="4">
        <f>((Table8[[#This Row],[Courirer Price ]]-Table8[[#This Row],[Expected Price]])/Table8[[#This Row],[Expected Price]])*100</f>
        <v>370.26431718061673</v>
      </c>
      <c r="Z19" s="4" t="str">
        <f>IF(Table8[[#This Row],[%change]]&gt;0,"Over Charged",IF(Table8[[#This Row],[%change]]=0,"Perfectly Charged",IF(Table8[[#This Row],[%change]]&lt;0,"Under Charged")))</f>
        <v>Over Charged</v>
      </c>
    </row>
    <row r="20" spans="1:26" x14ac:dyDescent="0.3">
      <c r="A20">
        <v>2001821995</v>
      </c>
      <c r="B20" t="s">
        <v>44</v>
      </c>
      <c r="C20">
        <v>1</v>
      </c>
      <c r="D20">
        <f>_xlfn.XLOOKUP(Order_Report[[#This Row],[SKU]],SKU_Master[SKU],SKU_Master[Weight (g)],"not found")</f>
        <v>350</v>
      </c>
      <c r="E20">
        <f>Order_Report[[#This Row],[order weight ]]*Order_Report[[#This Row],[Order Qty]]</f>
        <v>350</v>
      </c>
      <c r="N20" s="1">
        <v>2001817160</v>
      </c>
      <c r="O20">
        <f>SUMIFS(Order_Report[_total weight ],Order_Report[ExternOrderNo],$N20)</f>
        <v>700</v>
      </c>
      <c r="P20">
        <f>CEILING(Table8[[#This Row],[Total weight ]],0.5)</f>
        <v>700</v>
      </c>
      <c r="Q20" t="str">
        <f>_xlfn.XLOOKUP(Table8[[#This Row],[Ext Order No]],Invoice[Order ID],Invoice[Zone])</f>
        <v>d</v>
      </c>
      <c r="R20" t="str">
        <f>IF(pincodes[[#Headers],[Matching status]]="matched",'(abc)pincodes'!C19,'(abc)pincodes'!C19)</f>
        <v>e</v>
      </c>
      <c r="S20" t="str">
        <f>_xlfn.XLOOKUP(Table8[[#This Row],[ABC area ]],Invoice[Zone],Invoice[Type of Shipment])</f>
        <v>Forward and RTO charges</v>
      </c>
      <c r="T20" t="s">
        <v>119</v>
      </c>
      <c r="U20" t="s">
        <v>120</v>
      </c>
      <c r="V20">
        <f>_xlfn.XLOOKUP(Table8[[#This Row],[Ext Order No]],Invoice[Order ID],Invoice[Billing Amount (Rs.)],"not found")</f>
        <v>172.8</v>
      </c>
      <c r="W20">
        <f>56.6+50.7</f>
        <v>107.30000000000001</v>
      </c>
      <c r="X20">
        <f>_xlfn.XLOOKUP(Table8[[#This Row],[Ext Order No]],Invoice[Order ID],Invoice[AWB Code])</f>
        <v>1091119630264</v>
      </c>
      <c r="Y20" s="4">
        <f>((Table8[[#This Row],[Courirer Price ]]-Table8[[#This Row],[Expected Price]])/Table8[[#This Row],[Expected Price]])*100</f>
        <v>61.043802423112759</v>
      </c>
      <c r="Z20" s="4" t="str">
        <f>IF(Table8[[#This Row],[%change]]&gt;0,"Over Charged",IF(Table8[[#This Row],[%change]]=0,"Perfectly Charged",IF(Table8[[#This Row],[%change]]&lt;0,"Under Charged")))</f>
        <v>Over Charged</v>
      </c>
    </row>
    <row r="21" spans="1:26" x14ac:dyDescent="0.3">
      <c r="A21">
        <v>2001821995</v>
      </c>
      <c r="B21" t="s">
        <v>25</v>
      </c>
      <c r="C21">
        <v>1</v>
      </c>
      <c r="D21">
        <f>_xlfn.XLOOKUP(Order_Report[[#This Row],[SKU]],SKU_Master[SKU],SKU_Master[Weight (g)],"not found")</f>
        <v>127</v>
      </c>
      <c r="E21">
        <f>Order_Report[[#This Row],[order weight ]]*Order_Report[[#This Row],[Order Qty]]</f>
        <v>127</v>
      </c>
      <c r="N21" s="1">
        <v>2001817093</v>
      </c>
      <c r="O21">
        <f>SUMIFS(Order_Report[_total weight ],Order_Report[ExternOrderNo],$N21)</f>
        <v>1357</v>
      </c>
      <c r="P21">
        <f>CEILING(Table8[[#This Row],[Total weight ]],0.5)</f>
        <v>1357</v>
      </c>
      <c r="Q21" t="str">
        <f>_xlfn.XLOOKUP(Table8[[#This Row],[Ext Order No]],Invoice[Order ID],Invoice[Zone])</f>
        <v>b</v>
      </c>
      <c r="R21" t="str">
        <f>IF(pincodes[[#Headers],[Matching status]]="matched",'(abc)pincodes'!C20,'(abc)pincodes'!C20)</f>
        <v>b</v>
      </c>
      <c r="S21" t="str">
        <f>_xlfn.XLOOKUP(Table8[[#This Row],[ABC area ]],Invoice[Zone],Invoice[Type of Shipment])</f>
        <v>Forward charges</v>
      </c>
      <c r="T21" t="s">
        <v>119</v>
      </c>
      <c r="V21">
        <f>_xlfn.XLOOKUP(Table8[[#This Row],[Ext Order No]],Invoice[Order ID],Invoice[Billing Amount (Rs.)],"not found")</f>
        <v>151.1</v>
      </c>
      <c r="W2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21">
        <f>_xlfn.XLOOKUP(Table8[[#This Row],[Ext Order No]],Invoice[Order ID],Invoice[AWB Code])</f>
        <v>1091121485824</v>
      </c>
      <c r="Y21" s="4">
        <f>((Table8[[#This Row],[Courirer Price ]]-Table8[[#This Row],[Expected Price]])/Table8[[#This Row],[Expected Price]])*100</f>
        <v>357.87878787878788</v>
      </c>
      <c r="Z21" s="4" t="str">
        <f>IF(Table8[[#This Row],[%change]]&gt;0,"Over Charged",IF(Table8[[#This Row],[%change]]=0,"Perfectly Charged",IF(Table8[[#This Row],[%change]]&lt;0,"Under Charged")))</f>
        <v>Over Charged</v>
      </c>
    </row>
    <row r="22" spans="1:26" x14ac:dyDescent="0.3">
      <c r="A22">
        <v>2001821766</v>
      </c>
      <c r="B22" t="s">
        <v>19</v>
      </c>
      <c r="C22">
        <v>2</v>
      </c>
      <c r="D22">
        <f>_xlfn.XLOOKUP(Order_Report[[#This Row],[SKU]],SKU_Master[SKU],SKU_Master[Weight (g)],"not found")</f>
        <v>120</v>
      </c>
      <c r="E22">
        <f>Order_Report[[#This Row],[order weight ]]*Order_Report[[#This Row],[Order Qty]]</f>
        <v>240</v>
      </c>
      <c r="N22" s="1">
        <v>2001816996</v>
      </c>
      <c r="O22">
        <f>SUMIFS(Order_Report[_total weight ],Order_Report[ExternOrderNo],$N22)</f>
        <v>500</v>
      </c>
      <c r="P22">
        <f>CEILING(Table8[[#This Row],[Total weight ]],0.5)</f>
        <v>500</v>
      </c>
      <c r="Q22" t="str">
        <f>_xlfn.XLOOKUP(Table8[[#This Row],[Ext Order No]],Invoice[Order ID],Invoice[Zone])</f>
        <v>d</v>
      </c>
      <c r="R22" t="str">
        <f>IF(pincodes[[#Headers],[Matching status]]="matched",'(abc)pincodes'!C21,'(abc)pincodes'!C21)</f>
        <v>d</v>
      </c>
      <c r="S22" t="str">
        <f>_xlfn.XLOOKUP(Table8[[#This Row],[ABC area ]],Invoice[Zone],Invoice[Type of Shipment])</f>
        <v>Forward charges</v>
      </c>
      <c r="T22" t="s">
        <v>119</v>
      </c>
      <c r="V22">
        <f>_xlfn.XLOOKUP(Table8[[#This Row],[Ext Order No]],Invoice[Order ID],Invoice[Billing Amount (Rs.)],"not found")</f>
        <v>45.4</v>
      </c>
      <c r="W22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22">
        <f>_xlfn.XLOOKUP(Table8[[#This Row],[Ext Order No]],Invoice[Order ID],Invoice[AWB Code])</f>
        <v>1091119429202</v>
      </c>
      <c r="Y22" s="4">
        <f>((Table8[[#This Row],[Courirer Price ]]-Table8[[#This Row],[Expected Price]])/Table8[[#This Row],[Expected Price]])*100</f>
        <v>0</v>
      </c>
      <c r="Z22" s="4" t="str">
        <f>IF(Table8[[#This Row],[%change]]&gt;0,"Over Charged",IF(Table8[[#This Row],[%change]]=0,"Perfectly Charged",IF(Table8[[#This Row],[%change]]&lt;0,"Under Charged")))</f>
        <v>Perfectly Charged</v>
      </c>
    </row>
    <row r="23" spans="1:26" x14ac:dyDescent="0.3">
      <c r="A23">
        <v>2001821750</v>
      </c>
      <c r="B23" t="s">
        <v>30</v>
      </c>
      <c r="C23">
        <v>1</v>
      </c>
      <c r="D23">
        <f>_xlfn.XLOOKUP(Order_Report[[#This Row],[SKU]],SKU_Master[SKU],SKU_Master[Weight (g)],"not found")</f>
        <v>240</v>
      </c>
      <c r="E23">
        <f>Order_Report[[#This Row],[order weight ]]*Order_Report[[#This Row],[Order Qty]]</f>
        <v>240</v>
      </c>
      <c r="N23" s="2">
        <v>2001816684</v>
      </c>
      <c r="O23">
        <f>SUMIFS(Order_Report[_total weight ],Order_Report[ExternOrderNo],$N23)</f>
        <v>920</v>
      </c>
      <c r="P23">
        <f>CEILING(Table8[[#This Row],[Total weight ]],0.5)</f>
        <v>920</v>
      </c>
      <c r="Q23" t="str">
        <f>_xlfn.XLOOKUP(Table8[[#This Row],[Ext Order No]],Invoice[Order ID],Invoice[Zone])</f>
        <v>d</v>
      </c>
      <c r="R23" t="str">
        <f>IF(pincodes[[#Headers],[Matching status]]="matched",'(abc)pincodes'!C22,'(abc)pincodes'!C22)</f>
        <v>b</v>
      </c>
      <c r="S23" t="str">
        <f>_xlfn.XLOOKUP(Table8[[#This Row],[ABC area ]],Invoice[Zone],Invoice[Type of Shipment])</f>
        <v>Forward charges</v>
      </c>
      <c r="T23" t="s">
        <v>119</v>
      </c>
      <c r="V23">
        <f>_xlfn.XLOOKUP(Table8[[#This Row],[Ext Order No]],Invoice[Order ID],Invoice[Billing Amount (Rs.)],"not found")</f>
        <v>172.8</v>
      </c>
      <c r="W2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23">
        <f>_xlfn.XLOOKUP(Table8[[#This Row],[Ext Order No]],Invoice[Order ID],Invoice[AWB Code])</f>
        <v>1091119398844</v>
      </c>
      <c r="Y23" s="4">
        <f>((Table8[[#This Row],[Courirer Price ]]-Table8[[#This Row],[Expected Price]])/Table8[[#This Row],[Expected Price]])*100</f>
        <v>423.63636363636363</v>
      </c>
      <c r="Z23" s="4" t="str">
        <f>IF(Table8[[#This Row],[%change]]&gt;0,"Over Charged",IF(Table8[[#This Row],[%change]]=0,"Perfectly Charged",IF(Table8[[#This Row],[%change]]&lt;0,"Under Charged")))</f>
        <v>Over Charged</v>
      </c>
    </row>
    <row r="24" spans="1:26" x14ac:dyDescent="0.3">
      <c r="A24">
        <v>2001821750</v>
      </c>
      <c r="B24" t="s">
        <v>15</v>
      </c>
      <c r="C24">
        <v>1</v>
      </c>
      <c r="D24">
        <f>_xlfn.XLOOKUP(Order_Report[[#This Row],[SKU]],SKU_Master[SKU],SKU_Master[Weight (g)],"not found")</f>
        <v>165</v>
      </c>
      <c r="E24">
        <f>Order_Report[[#This Row],[order weight ]]*Order_Report[[#This Row],[Order Qty]]</f>
        <v>165</v>
      </c>
      <c r="N24" s="1">
        <v>2001816131</v>
      </c>
      <c r="O24">
        <f>SUMIFS(Order_Report[_total weight ],Order_Report[ExternOrderNo],$N24)</f>
        <v>554</v>
      </c>
      <c r="P24">
        <f>CEILING(Table8[[#This Row],[Total weight ]],0.5)</f>
        <v>554</v>
      </c>
      <c r="Q24" t="str">
        <f>_xlfn.XLOOKUP(Table8[[#This Row],[Ext Order No]],Invoice[Order ID],Invoice[Zone])</f>
        <v>d</v>
      </c>
      <c r="R24" t="str">
        <f>IF(pincodes[[#Headers],[Matching status]]="matched",'(abc)pincodes'!C23,'(abc)pincodes'!C23)</f>
        <v>d</v>
      </c>
      <c r="S24" t="str">
        <f>_xlfn.XLOOKUP(Table8[[#This Row],[ABC area ]],Invoice[Zone],Invoice[Type of Shipment])</f>
        <v>Forward charges</v>
      </c>
      <c r="T24" t="s">
        <v>119</v>
      </c>
      <c r="V24">
        <f>_xlfn.XLOOKUP(Table8[[#This Row],[Ext Order No]],Invoice[Order ID],Invoice[Billing Amount (Rs.)],"not found")</f>
        <v>90.2</v>
      </c>
      <c r="W2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24">
        <f>_xlfn.XLOOKUP(Table8[[#This Row],[Ext Order No]],Invoice[Order ID],Invoice[AWB Code])</f>
        <v>1091119367193</v>
      </c>
      <c r="Y24" s="4">
        <f>((Table8[[#This Row],[Courirer Price ]]-Table8[[#This Row],[Expected Price]])/Table8[[#This Row],[Expected Price]])*100</f>
        <v>98.678414096916313</v>
      </c>
      <c r="Z24" s="4" t="str">
        <f>IF(Table8[[#This Row],[%change]]&gt;0,"Over Charged",IF(Table8[[#This Row],[%change]]=0,"Perfectly Charged",IF(Table8[[#This Row],[%change]]&lt;0,"Under Charged")))</f>
        <v>Over Charged</v>
      </c>
    </row>
    <row r="25" spans="1:26" x14ac:dyDescent="0.3">
      <c r="A25">
        <v>2001821750</v>
      </c>
      <c r="B25" t="s">
        <v>44</v>
      </c>
      <c r="C25">
        <v>1</v>
      </c>
      <c r="D25">
        <f>_xlfn.XLOOKUP(Order_Report[[#This Row],[SKU]],SKU_Master[SKU],SKU_Master[Weight (g)],"not found")</f>
        <v>350</v>
      </c>
      <c r="E25">
        <f>Order_Report[[#This Row],[order weight ]]*Order_Report[[#This Row],[Order Qty]]</f>
        <v>350</v>
      </c>
      <c r="N25" s="1">
        <v>2001815688</v>
      </c>
      <c r="O25">
        <f>SUMIFS(Order_Report[_total weight ],Order_Report[ExternOrderNo],$N25)</f>
        <v>220</v>
      </c>
      <c r="P25">
        <f>CEILING(Table8[[#This Row],[Total weight ]],0.5)</f>
        <v>220</v>
      </c>
      <c r="Q25" t="str">
        <f>_xlfn.XLOOKUP(Table8[[#This Row],[Ext Order No]],Invoice[Order ID],Invoice[Zone])</f>
        <v>d</v>
      </c>
      <c r="R25" t="str">
        <f>IF(pincodes[[#Headers],[Matching status]]="matched",'(abc)pincodes'!C24,'(abc)pincodes'!C24)</f>
        <v>b</v>
      </c>
      <c r="S25" t="str">
        <f>_xlfn.XLOOKUP(Table8[[#This Row],[ABC area ]],Invoice[Zone],Invoice[Type of Shipment])</f>
        <v>Forward charges</v>
      </c>
      <c r="T25" t="s">
        <v>119</v>
      </c>
      <c r="V25">
        <f>_xlfn.XLOOKUP(Table8[[#This Row],[Ext Order No]],Invoice[Order ID],Invoice[Billing Amount (Rs.)],"not found")</f>
        <v>45.4</v>
      </c>
      <c r="W2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25">
        <f>_xlfn.XLOOKUP(Table8[[#This Row],[Ext Order No]],Invoice[Order ID],Invoice[AWB Code])</f>
        <v>1091119169701</v>
      </c>
      <c r="Y25" s="4">
        <f>((Table8[[#This Row],[Courirer Price ]]-Table8[[#This Row],[Expected Price]])/Table8[[#This Row],[Expected Price]])*100</f>
        <v>37.575757575757571</v>
      </c>
      <c r="Z25" s="4" t="str">
        <f>IF(Table8[[#This Row],[%change]]&gt;0,"Over Charged",IF(Table8[[#This Row],[%change]]=0,"Perfectly Charged",IF(Table8[[#This Row],[%change]]&lt;0,"Under Charged")))</f>
        <v>Over Charged</v>
      </c>
    </row>
    <row r="26" spans="1:26" x14ac:dyDescent="0.3">
      <c r="A26">
        <v>2001821742</v>
      </c>
      <c r="B26" t="s">
        <v>62</v>
      </c>
      <c r="C26">
        <v>1</v>
      </c>
      <c r="D26">
        <f>_xlfn.XLOOKUP(Order_Report[[#This Row],[SKU]],SKU_Master[SKU],SKU_Master[Weight (g)],"not found")</f>
        <v>240</v>
      </c>
      <c r="E26">
        <f>Order_Report[[#This Row],[order weight ]]*Order_Report[[#This Row],[Order Qty]]</f>
        <v>240</v>
      </c>
      <c r="N26" s="1">
        <v>2001814580</v>
      </c>
      <c r="O26">
        <f>SUMIFS(Order_Report[_total weight ],Order_Report[ExternOrderNo],$N26)</f>
        <v>127</v>
      </c>
      <c r="P26">
        <f>CEILING(Table8[[#This Row],[Total weight ]],0.5)</f>
        <v>127</v>
      </c>
      <c r="Q26" t="str">
        <f>_xlfn.XLOOKUP(Table8[[#This Row],[Ext Order No]],Invoice[Order ID],Invoice[Zone])</f>
        <v>d</v>
      </c>
      <c r="R26" t="str">
        <f>IF(pincodes[[#Headers],[Matching status]]="matched",'(abc)pincodes'!C25,'(abc)pincodes'!C25)</f>
        <v>d</v>
      </c>
      <c r="S26" t="str">
        <f>_xlfn.XLOOKUP(Table8[[#This Row],[ABC area ]],Invoice[Zone],Invoice[Type of Shipment])</f>
        <v>Forward charges</v>
      </c>
      <c r="T26" t="s">
        <v>119</v>
      </c>
      <c r="V26">
        <f>_xlfn.XLOOKUP(Table8[[#This Row],[Ext Order No]],Invoice[Order ID],Invoice[Billing Amount (Rs.)],"not found")</f>
        <v>86.7</v>
      </c>
      <c r="W26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26">
        <f>_xlfn.XLOOKUP(Table8[[#This Row],[Ext Order No]],Invoice[Order ID],Invoice[AWB Code])</f>
        <v>1091118925110</v>
      </c>
      <c r="Y26" s="4">
        <f>((Table8[[#This Row],[Courirer Price ]]-Table8[[#This Row],[Expected Price]])/Table8[[#This Row],[Expected Price]])*100</f>
        <v>90.969162995594715</v>
      </c>
      <c r="Z26" s="4" t="str">
        <f>IF(Table8[[#This Row],[%change]]&gt;0,"Over Charged",IF(Table8[[#This Row],[%change]]=0,"Perfectly Charged",IF(Table8[[#This Row],[%change]]&lt;0,"Under Charged")))</f>
        <v>Over Charged</v>
      </c>
    </row>
    <row r="27" spans="1:26" x14ac:dyDescent="0.3">
      <c r="A27">
        <v>2001821679</v>
      </c>
      <c r="B27" t="s">
        <v>15</v>
      </c>
      <c r="C27">
        <v>1</v>
      </c>
      <c r="D27">
        <f>_xlfn.XLOOKUP(Order_Report[[#This Row],[SKU]],SKU_Master[SKU],SKU_Master[Weight (g)],"not found")</f>
        <v>165</v>
      </c>
      <c r="E27">
        <f>Order_Report[[#This Row],[order weight ]]*Order_Report[[#This Row],[Order Qty]]</f>
        <v>165</v>
      </c>
      <c r="N27" s="2">
        <v>2001813009</v>
      </c>
      <c r="O27">
        <f>SUMIFS(Order_Report[_total weight ],Order_Report[ExternOrderNo],$N27)</f>
        <v>720</v>
      </c>
      <c r="P27">
        <f>CEILING(Table8[[#This Row],[Total weight ]],0.5)</f>
        <v>720</v>
      </c>
      <c r="Q27" t="str">
        <f>_xlfn.XLOOKUP(Table8[[#This Row],[Ext Order No]],Invoice[Order ID],Invoice[Zone])</f>
        <v>d</v>
      </c>
      <c r="R27" t="str">
        <f>IF(pincodes[[#Headers],[Matching status]]="matched",'(abc)pincodes'!C26,'(abc)pincodes'!C26)</f>
        <v>d</v>
      </c>
      <c r="S27" t="str">
        <f>_xlfn.XLOOKUP(Table8[[#This Row],[ABC area ]],Invoice[Zone],Invoice[Type of Shipment])</f>
        <v>Forward charges</v>
      </c>
      <c r="T27" t="s">
        <v>119</v>
      </c>
      <c r="V27">
        <f>_xlfn.XLOOKUP(Table8[[#This Row],[Ext Order No]],Invoice[Order ID],Invoice[Billing Amount (Rs.)],"not found")</f>
        <v>90.2</v>
      </c>
      <c r="W27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27">
        <f>_xlfn.XLOOKUP(Table8[[#This Row],[Ext Order No]],Invoice[Order ID],Invoice[AWB Code])</f>
        <v>1091118553701</v>
      </c>
      <c r="Y27" s="4">
        <f>((Table8[[#This Row],[Courirer Price ]]-Table8[[#This Row],[Expected Price]])/Table8[[#This Row],[Expected Price]])*100</f>
        <v>98.678414096916313</v>
      </c>
      <c r="Z27" s="4" t="str">
        <f>IF(Table8[[#This Row],[%change]]&gt;0,"Over Charged",IF(Table8[[#This Row],[%change]]=0,"Perfectly Charged",IF(Table8[[#This Row],[%change]]&lt;0,"Under Charged")))</f>
        <v>Over Charged</v>
      </c>
    </row>
    <row r="28" spans="1:26" x14ac:dyDescent="0.3">
      <c r="A28">
        <v>2001821502</v>
      </c>
      <c r="B28" t="s">
        <v>37</v>
      </c>
      <c r="C28">
        <v>1</v>
      </c>
      <c r="D28">
        <f>_xlfn.XLOOKUP(Order_Report[[#This Row],[SKU]],SKU_Master[SKU],SKU_Master[Weight (g)],"not found")</f>
        <v>110</v>
      </c>
      <c r="E28">
        <f>Order_Report[[#This Row],[order weight ]]*Order_Report[[#This Row],[Order Qty]]</f>
        <v>110</v>
      </c>
      <c r="N28" s="1">
        <v>2001812941</v>
      </c>
      <c r="O28">
        <f>SUMIFS(Order_Report[_total weight ],Order_Report[ExternOrderNo],$N28)</f>
        <v>500</v>
      </c>
      <c r="P28">
        <f>CEILING(Table8[[#This Row],[Total weight ]],0.5)</f>
        <v>500</v>
      </c>
      <c r="Q28" t="str">
        <f>_xlfn.XLOOKUP(Table8[[#This Row],[Ext Order No]],Invoice[Order ID],Invoice[Zone])</f>
        <v>d</v>
      </c>
      <c r="R28" t="str">
        <f>IF(pincodes[[#Headers],[Matching status]]="matched",'(abc)pincodes'!C27,'(abc)pincodes'!C27)</f>
        <v>e</v>
      </c>
      <c r="S28" t="str">
        <f>_xlfn.XLOOKUP(Table8[[#This Row],[ABC area ]],Invoice[Zone],Invoice[Type of Shipment])</f>
        <v>Forward and RTO charges</v>
      </c>
      <c r="T28" t="s">
        <v>119</v>
      </c>
      <c r="U28" t="s">
        <v>120</v>
      </c>
      <c r="V28">
        <f>_xlfn.XLOOKUP(Table8[[#This Row],[Ext Order No]],Invoice[Order ID],Invoice[Billing Amount (Rs.)],"not found")</f>
        <v>90.2</v>
      </c>
      <c r="W28">
        <v>107.3</v>
      </c>
      <c r="X28">
        <f>_xlfn.XLOOKUP(Table8[[#This Row],[Ext Order No]],Invoice[Order ID],Invoice[AWB Code])</f>
        <v>1091118551656</v>
      </c>
      <c r="Y28" s="4">
        <f>((Table8[[#This Row],[Courirer Price ]]-Table8[[#This Row],[Expected Price]])/Table8[[#This Row],[Expected Price]])*100</f>
        <v>-15.936626281453863</v>
      </c>
      <c r="Z28" s="4" t="str">
        <f>IF(Table8[[#This Row],[%change]]&gt;0,"Over Charged",IF(Table8[[#This Row],[%change]]=0,"Perfectly Charged",IF(Table8[[#This Row],[%change]]&lt;0,"Under Charged")))</f>
        <v>Under Charged</v>
      </c>
    </row>
    <row r="29" spans="1:26" x14ac:dyDescent="0.3">
      <c r="A29">
        <v>2001821502</v>
      </c>
      <c r="B29" t="s">
        <v>36</v>
      </c>
      <c r="C29">
        <v>2</v>
      </c>
      <c r="D29">
        <f>_xlfn.XLOOKUP(Order_Report[[#This Row],[SKU]],SKU_Master[SKU],SKU_Master[Weight (g)],"not found")</f>
        <v>112</v>
      </c>
      <c r="E29">
        <f>Order_Report[[#This Row],[order weight ]]*Order_Report[[#This Row],[Order Qty]]</f>
        <v>224</v>
      </c>
      <c r="N29" s="2">
        <v>2001812854</v>
      </c>
      <c r="O29">
        <f>SUMIFS(Order_Report[_total weight ],Order_Report[ExternOrderNo],$N29)</f>
        <v>2572</v>
      </c>
      <c r="P29">
        <f>CEILING(Table8[[#This Row],[Total weight ]],0.5)</f>
        <v>2572</v>
      </c>
      <c r="Q29" t="str">
        <f>_xlfn.XLOOKUP(Table8[[#This Row],[Ext Order No]],Invoice[Order ID],Invoice[Zone])</f>
        <v>d</v>
      </c>
      <c r="R29" t="str">
        <f>IF(pincodes[[#Headers],[Matching status]]="matched",'(abc)pincodes'!C28,'(abc)pincodes'!C28)</f>
        <v>d</v>
      </c>
      <c r="S29" t="str">
        <f>_xlfn.XLOOKUP(Table8[[#This Row],[ABC area ]],Invoice[Zone],Invoice[Type of Shipment])</f>
        <v>Forward charges</v>
      </c>
      <c r="T29" t="s">
        <v>119</v>
      </c>
      <c r="V29">
        <f>_xlfn.XLOOKUP(Table8[[#This Row],[Ext Order No]],Invoice[Order ID],Invoice[Billing Amount (Rs.)],"not found")</f>
        <v>269.39999999999998</v>
      </c>
      <c r="W29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29">
        <f>_xlfn.XLOOKUP(Table8[[#This Row],[Ext Order No]],Invoice[Order ID],Invoice[AWB Code])</f>
        <v>1091118548333</v>
      </c>
      <c r="Y29" s="4">
        <f>((Table8[[#This Row],[Courirer Price ]]-Table8[[#This Row],[Expected Price]])/Table8[[#This Row],[Expected Price]])*100</f>
        <v>493.39207048458144</v>
      </c>
      <c r="Z29" s="4" t="str">
        <f>IF(Table8[[#This Row],[%change]]&gt;0,"Over Charged",IF(Table8[[#This Row],[%change]]=0,"Perfectly Charged",IF(Table8[[#This Row],[%change]]&lt;0,"Under Charged")))</f>
        <v>Over Charged</v>
      </c>
    </row>
    <row r="30" spans="1:26" x14ac:dyDescent="0.3">
      <c r="A30">
        <v>2001821502</v>
      </c>
      <c r="B30" t="s">
        <v>35</v>
      </c>
      <c r="C30">
        <v>2</v>
      </c>
      <c r="D30">
        <f>_xlfn.XLOOKUP(Order_Report[[#This Row],[SKU]],SKU_Master[SKU],SKU_Master[Weight (g)],"not found")</f>
        <v>112</v>
      </c>
      <c r="E30">
        <f>Order_Report[[#This Row],[order weight ]]*Order_Report[[#This Row],[Order Qty]]</f>
        <v>224</v>
      </c>
      <c r="N30" s="2">
        <v>2001812838</v>
      </c>
      <c r="O30">
        <f>SUMIFS(Order_Report[_total weight ],Order_Report[ExternOrderNo],$N30)</f>
        <v>558</v>
      </c>
      <c r="P30">
        <f>CEILING(Table8[[#This Row],[Total weight ]],0.5)</f>
        <v>558</v>
      </c>
      <c r="Q30" t="str">
        <f>_xlfn.XLOOKUP(Table8[[#This Row],[Ext Order No]],Invoice[Order ID],Invoice[Zone])</f>
        <v>b</v>
      </c>
      <c r="R30" t="str">
        <f>IF(pincodes[[#Headers],[Matching status]]="matched",'(abc)pincodes'!C29,'(abc)pincodes'!C29)</f>
        <v>b</v>
      </c>
      <c r="S30" t="str">
        <f>_xlfn.XLOOKUP(Table8[[#This Row],[ABC area ]],Invoice[Zone],Invoice[Type of Shipment])</f>
        <v>Forward charges</v>
      </c>
      <c r="T30" t="s">
        <v>119</v>
      </c>
      <c r="V30">
        <f>_xlfn.XLOOKUP(Table8[[#This Row],[Ext Order No]],Invoice[Order ID],Invoice[Billing Amount (Rs.)],"not found")</f>
        <v>102.3</v>
      </c>
      <c r="W3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30">
        <f>_xlfn.XLOOKUP(Table8[[#This Row],[Ext Order No]],Invoice[Order ID],Invoice[AWB Code])</f>
        <v>1091118547832</v>
      </c>
      <c r="Y30" s="4">
        <f>((Table8[[#This Row],[Courirer Price ]]-Table8[[#This Row],[Expected Price]])/Table8[[#This Row],[Expected Price]])*100</f>
        <v>210</v>
      </c>
      <c r="Z30" s="4" t="str">
        <f>IF(Table8[[#This Row],[%change]]&gt;0,"Over Charged",IF(Table8[[#This Row],[%change]]=0,"Perfectly Charged",IF(Table8[[#This Row],[%change]]&lt;0,"Under Charged")))</f>
        <v>Over Charged</v>
      </c>
    </row>
    <row r="31" spans="1:26" x14ac:dyDescent="0.3">
      <c r="A31">
        <v>2001821284</v>
      </c>
      <c r="B31" t="s">
        <v>20</v>
      </c>
      <c r="C31">
        <v>1</v>
      </c>
      <c r="D31">
        <f>_xlfn.XLOOKUP(Order_Report[[#This Row],[SKU]],SKU_Master[SKU],SKU_Master[Weight (g)],"not found")</f>
        <v>65</v>
      </c>
      <c r="E31">
        <f>Order_Report[[#This Row],[order weight ]]*Order_Report[[#This Row],[Order Qty]]</f>
        <v>65</v>
      </c>
      <c r="N31" s="2">
        <v>2001812650</v>
      </c>
      <c r="O31">
        <f>SUMIFS(Order_Report[_total weight ],Order_Report[ExternOrderNo],$N31)</f>
        <v>563</v>
      </c>
      <c r="P31">
        <f>CEILING(Table8[[#This Row],[Total weight ]],0.5)</f>
        <v>563</v>
      </c>
      <c r="Q31" t="str">
        <f>_xlfn.XLOOKUP(Table8[[#This Row],[Ext Order No]],Invoice[Order ID],Invoice[Zone])</f>
        <v>d</v>
      </c>
      <c r="R31" t="str">
        <f>IF(pincodes[[#Headers],[Matching status]]="matched",'(abc)pincodes'!C30,'(abc)pincodes'!C30)</f>
        <v>d</v>
      </c>
      <c r="S31" t="str">
        <f>_xlfn.XLOOKUP(Table8[[#This Row],[ABC area ]],Invoice[Zone],Invoice[Type of Shipment])</f>
        <v>Forward charges</v>
      </c>
      <c r="T31" t="s">
        <v>119</v>
      </c>
      <c r="V31">
        <f>_xlfn.XLOOKUP(Table8[[#This Row],[Ext Order No]],Invoice[Order ID],Invoice[Billing Amount (Rs.)],"not found")</f>
        <v>90.2</v>
      </c>
      <c r="W31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1">
        <f>_xlfn.XLOOKUP(Table8[[#This Row],[Ext Order No]],Invoice[Order ID],Invoice[AWB Code])</f>
        <v>1091118591534</v>
      </c>
      <c r="Y31" s="4">
        <f>((Table8[[#This Row],[Courirer Price ]]-Table8[[#This Row],[Expected Price]])/Table8[[#This Row],[Expected Price]])*100</f>
        <v>98.678414096916313</v>
      </c>
      <c r="Z31" s="4" t="str">
        <f>IF(Table8[[#This Row],[%change]]&gt;0,"Over Charged",IF(Table8[[#This Row],[%change]]=0,"Perfectly Charged",IF(Table8[[#This Row],[%change]]&lt;0,"Under Charged")))</f>
        <v>Over Charged</v>
      </c>
    </row>
    <row r="32" spans="1:26" x14ac:dyDescent="0.3">
      <c r="A32">
        <v>2001821284</v>
      </c>
      <c r="B32" t="s">
        <v>35</v>
      </c>
      <c r="C32">
        <v>1</v>
      </c>
      <c r="D32">
        <f>_xlfn.XLOOKUP(Order_Report[[#This Row],[SKU]],SKU_Master[SKU],SKU_Master[Weight (g)],"not found")</f>
        <v>112</v>
      </c>
      <c r="E32">
        <f>Order_Report[[#This Row],[order weight ]]*Order_Report[[#This Row],[Order Qty]]</f>
        <v>112</v>
      </c>
      <c r="N32" s="2">
        <v>2001812195</v>
      </c>
      <c r="O32">
        <f>SUMIFS(Order_Report[_total weight ],Order_Report[ExternOrderNo],$N32)</f>
        <v>500</v>
      </c>
      <c r="P32">
        <f>CEILING(Table8[[#This Row],[Total weight ]],0.5)</f>
        <v>500</v>
      </c>
      <c r="Q32" t="str">
        <f>_xlfn.XLOOKUP(Table8[[#This Row],[Ext Order No]],Invoice[Order ID],Invoice[Zone])</f>
        <v>d</v>
      </c>
      <c r="R32" t="str">
        <f>IF(pincodes[[#Headers],[Matching status]]="matched",'(abc)pincodes'!C31,'(abc)pincodes'!C31)</f>
        <v>d</v>
      </c>
      <c r="S32" t="str">
        <f>_xlfn.XLOOKUP(Table8[[#This Row],[ABC area ]],Invoice[Zone],Invoice[Type of Shipment])</f>
        <v>Forward charges</v>
      </c>
      <c r="T32" t="s">
        <v>119</v>
      </c>
      <c r="V32">
        <f>_xlfn.XLOOKUP(Table8[[#This Row],[Ext Order No]],Invoice[Order ID],Invoice[Billing Amount (Rs.)],"not found")</f>
        <v>90.2</v>
      </c>
      <c r="W32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2">
        <f>_xlfn.XLOOKUP(Table8[[#This Row],[Ext Order No]],Invoice[Order ID],Invoice[AWB Code])</f>
        <v>1091118442390</v>
      </c>
      <c r="Y32" s="4">
        <f>((Table8[[#This Row],[Courirer Price ]]-Table8[[#This Row],[Expected Price]])/Table8[[#This Row],[Expected Price]])*100</f>
        <v>98.678414096916313</v>
      </c>
      <c r="Z32" s="4" t="str">
        <f>IF(Table8[[#This Row],[%change]]&gt;0,"Over Charged",IF(Table8[[#This Row],[%change]]=0,"Perfectly Charged",IF(Table8[[#This Row],[%change]]&lt;0,"Under Charged")))</f>
        <v>Over Charged</v>
      </c>
    </row>
    <row r="33" spans="1:26" x14ac:dyDescent="0.3">
      <c r="A33">
        <v>2001821190</v>
      </c>
      <c r="B33" t="s">
        <v>64</v>
      </c>
      <c r="C33">
        <v>1</v>
      </c>
      <c r="D33">
        <f>_xlfn.XLOOKUP(Order_Report[[#This Row],[SKU]],SKU_Master[SKU],SKU_Master[Weight (g)],"not found")</f>
        <v>600</v>
      </c>
      <c r="E33">
        <f>Order_Report[[#This Row],[order weight ]]*Order_Report[[#This Row],[Order Qty]]</f>
        <v>600</v>
      </c>
      <c r="N33" s="1">
        <v>2001811809</v>
      </c>
      <c r="O33">
        <f>SUMIFS(Order_Report[_total weight ],Order_Report[ExternOrderNo],$N33)</f>
        <v>500</v>
      </c>
      <c r="P33">
        <f>CEILING(Table8[[#This Row],[Total weight ]],0.5)</f>
        <v>500</v>
      </c>
      <c r="Q33" t="str">
        <f>_xlfn.XLOOKUP(Table8[[#This Row],[Ext Order No]],Invoice[Order ID],Invoice[Zone])</f>
        <v>d</v>
      </c>
      <c r="R33" t="str">
        <f>IF(pincodes[[#Headers],[Matching status]]="matched",'(abc)pincodes'!C32,'(abc)pincodes'!C32)</f>
        <v>d</v>
      </c>
      <c r="S33" t="str">
        <f>_xlfn.XLOOKUP(Table8[[#This Row],[ABC area ]],Invoice[Zone],Invoice[Type of Shipment])</f>
        <v>Forward charges</v>
      </c>
      <c r="T33" t="s">
        <v>119</v>
      </c>
      <c r="V33">
        <f>_xlfn.XLOOKUP(Table8[[#This Row],[Ext Order No]],Invoice[Order ID],Invoice[Billing Amount (Rs.)],"not found")</f>
        <v>86.7</v>
      </c>
      <c r="W33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3">
        <f>_xlfn.XLOOKUP(Table8[[#This Row],[Ext Order No]],Invoice[Order ID],Invoice[AWB Code])</f>
        <v>1091118009786</v>
      </c>
      <c r="Y33" s="4">
        <f>((Table8[[#This Row],[Courirer Price ]]-Table8[[#This Row],[Expected Price]])/Table8[[#This Row],[Expected Price]])*100</f>
        <v>90.969162995594715</v>
      </c>
      <c r="Z33" s="4" t="str">
        <f>IF(Table8[[#This Row],[%change]]&gt;0,"Over Charged",IF(Table8[[#This Row],[%change]]=0,"Perfectly Charged",IF(Table8[[#This Row],[%change]]&lt;0,"Under Charged")))</f>
        <v>Over Charged</v>
      </c>
    </row>
    <row r="34" spans="1:26" x14ac:dyDescent="0.3">
      <c r="A34">
        <v>2001821190</v>
      </c>
      <c r="B34" t="s">
        <v>65</v>
      </c>
      <c r="C34">
        <v>1</v>
      </c>
      <c r="D34">
        <f>_xlfn.XLOOKUP(Order_Report[[#This Row],[SKU]],SKU_Master[SKU],SKU_Master[Weight (g)],"not found")</f>
        <v>600</v>
      </c>
      <c r="E34">
        <f>Order_Report[[#This Row],[order weight ]]*Order_Report[[#This Row],[Order Qty]]</f>
        <v>600</v>
      </c>
      <c r="N34" s="2">
        <v>2001811604</v>
      </c>
      <c r="O34">
        <f>SUMIFS(Order_Report[_total weight ],Order_Report[ExternOrderNo],$N34)</f>
        <v>721</v>
      </c>
      <c r="P34">
        <f>CEILING(Table8[[#This Row],[Total weight ]],0.5)</f>
        <v>721</v>
      </c>
      <c r="Q34" t="str">
        <f>_xlfn.XLOOKUP(Table8[[#This Row],[Ext Order No]],Invoice[Order ID],Invoice[Zone])</f>
        <v>b</v>
      </c>
      <c r="R34" t="str">
        <f>IF(pincodes[[#Headers],[Matching status]]="matched",'(abc)pincodes'!C33,'(abc)pincodes'!C33)</f>
        <v>d</v>
      </c>
      <c r="S34" t="str">
        <f>_xlfn.XLOOKUP(Table8[[#This Row],[ABC area ]],Invoice[Zone],Invoice[Type of Shipment])</f>
        <v>Forward charges</v>
      </c>
      <c r="T34" t="s">
        <v>119</v>
      </c>
      <c r="V34">
        <f>_xlfn.XLOOKUP(Table8[[#This Row],[Ext Order No]],Invoice[Order ID],Invoice[Billing Amount (Rs.)],"not found")</f>
        <v>61.3</v>
      </c>
      <c r="W3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4">
        <f>_xlfn.XLOOKUP(Table8[[#This Row],[Ext Order No]],Invoice[Order ID],Invoice[AWB Code])</f>
        <v>1091118004245</v>
      </c>
      <c r="Y34" s="4">
        <f>((Table8[[#This Row],[Courirer Price ]]-Table8[[#This Row],[Expected Price]])/Table8[[#This Row],[Expected Price]])*100</f>
        <v>35.022026431718061</v>
      </c>
      <c r="Z34" s="4" t="str">
        <f>IF(Table8[[#This Row],[%change]]&gt;0,"Over Charged",IF(Table8[[#This Row],[%change]]=0,"Perfectly Charged",IF(Table8[[#This Row],[%change]]&lt;0,"Under Charged")))</f>
        <v>Over Charged</v>
      </c>
    </row>
    <row r="35" spans="1:26" x14ac:dyDescent="0.3">
      <c r="A35">
        <v>2001821185</v>
      </c>
      <c r="B35" t="s">
        <v>34</v>
      </c>
      <c r="C35">
        <v>2</v>
      </c>
      <c r="D35">
        <f>_xlfn.XLOOKUP(Order_Report[[#This Row],[SKU]],SKU_Master[SKU],SKU_Master[Weight (g)],"not found")</f>
        <v>133</v>
      </c>
      <c r="E35">
        <f>Order_Report[[#This Row],[order weight ]]*Order_Report[[#This Row],[Order Qty]]</f>
        <v>266</v>
      </c>
      <c r="N35" s="1">
        <v>2001811475</v>
      </c>
      <c r="O35">
        <f>SUMIFS(Order_Report[_total weight ],Order_Report[ExternOrderNo],$N35)</f>
        <v>689</v>
      </c>
      <c r="P35">
        <f>CEILING(Table8[[#This Row],[Total weight ]],0.5)</f>
        <v>689</v>
      </c>
      <c r="Q35" t="str">
        <f>_xlfn.XLOOKUP(Table8[[#This Row],[Ext Order No]],Invoice[Order ID],Invoice[Zone])</f>
        <v>b</v>
      </c>
      <c r="R35" t="str">
        <f>IF(pincodes[[#Headers],[Matching status]]="matched",'(abc)pincodes'!C34,'(abc)pincodes'!C34)</f>
        <v>b</v>
      </c>
      <c r="S35" t="str">
        <f>_xlfn.XLOOKUP(Table8[[#This Row],[ABC area ]],Invoice[Zone],Invoice[Type of Shipment])</f>
        <v>Forward charges</v>
      </c>
      <c r="T35" t="s">
        <v>119</v>
      </c>
      <c r="V35">
        <f>_xlfn.XLOOKUP(Table8[[#This Row],[Ext Order No]],Invoice[Order ID],Invoice[Billing Amount (Rs.)],"not found")</f>
        <v>33</v>
      </c>
      <c r="W3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35">
        <f>_xlfn.XLOOKUP(Table8[[#This Row],[Ext Order No]],Invoice[Order ID],Invoice[AWB Code])</f>
        <v>1091121844806</v>
      </c>
      <c r="Y35" s="4">
        <f>((Table8[[#This Row],[Courirer Price ]]-Table8[[#This Row],[Expected Price]])/Table8[[#This Row],[Expected Price]])*100</f>
        <v>0</v>
      </c>
      <c r="Z35" s="4" t="str">
        <f>IF(Table8[[#This Row],[%change]]&gt;0,"Over Charged",IF(Table8[[#This Row],[%change]]=0,"Perfectly Charged",IF(Table8[[#This Row],[%change]]&lt;0,"Under Charged")))</f>
        <v>Perfectly Charged</v>
      </c>
    </row>
    <row r="36" spans="1:26" x14ac:dyDescent="0.3">
      <c r="A36">
        <v>2001821185</v>
      </c>
      <c r="B36" t="s">
        <v>24</v>
      </c>
      <c r="C36">
        <v>2</v>
      </c>
      <c r="D36">
        <f>_xlfn.XLOOKUP(Order_Report[[#This Row],[SKU]],SKU_Master[SKU],SKU_Master[Weight (g)],"not found")</f>
        <v>121</v>
      </c>
      <c r="E36">
        <f>Order_Report[[#This Row],[order weight ]]*Order_Report[[#This Row],[Order Qty]]</f>
        <v>242</v>
      </c>
      <c r="N36" s="1">
        <v>2001811466</v>
      </c>
      <c r="O36">
        <f>SUMIFS(Order_Report[_total weight ],Order_Report[ExternOrderNo],$N36)</f>
        <v>607</v>
      </c>
      <c r="P36">
        <f>CEILING(Table8[[#This Row],[Total weight ]],0.5)</f>
        <v>607</v>
      </c>
      <c r="Q36" t="str">
        <f>_xlfn.XLOOKUP(Table8[[#This Row],[Ext Order No]],Invoice[Order ID],Invoice[Zone])</f>
        <v>d</v>
      </c>
      <c r="R36" t="str">
        <f>IF(pincodes[[#Headers],[Matching status]]="matched",'(abc)pincodes'!C35,'(abc)pincodes'!C35)</f>
        <v>d</v>
      </c>
      <c r="S36" t="str">
        <f>_xlfn.XLOOKUP(Table8[[#This Row],[ABC area ]],Invoice[Zone],Invoice[Type of Shipment])</f>
        <v>Forward charges</v>
      </c>
      <c r="T36" t="s">
        <v>119</v>
      </c>
      <c r="V36">
        <f>_xlfn.XLOOKUP(Table8[[#This Row],[Ext Order No]],Invoice[Order ID],Invoice[Billing Amount (Rs.)],"not found")</f>
        <v>90.2</v>
      </c>
      <c r="W36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6">
        <f>_xlfn.XLOOKUP(Table8[[#This Row],[Ext Order No]],Invoice[Order ID],Invoice[AWB Code])</f>
        <v>1091118001865</v>
      </c>
      <c r="Y36" s="4">
        <f>((Table8[[#This Row],[Courirer Price ]]-Table8[[#This Row],[Expected Price]])/Table8[[#This Row],[Expected Price]])*100</f>
        <v>98.678414096916313</v>
      </c>
      <c r="Z36" s="4" t="str">
        <f>IF(Table8[[#This Row],[%change]]&gt;0,"Over Charged",IF(Table8[[#This Row],[%change]]=0,"Perfectly Charged",IF(Table8[[#This Row],[%change]]&lt;0,"Under Charged")))</f>
        <v>Over Charged</v>
      </c>
    </row>
    <row r="37" spans="1:26" x14ac:dyDescent="0.3">
      <c r="A37">
        <v>2001821185</v>
      </c>
      <c r="B37" t="s">
        <v>51</v>
      </c>
      <c r="C37">
        <v>1</v>
      </c>
      <c r="D37">
        <f>_xlfn.XLOOKUP(Order_Report[[#This Row],[SKU]],SKU_Master[SKU],SKU_Master[Weight (g)],"not found")</f>
        <v>290</v>
      </c>
      <c r="E37">
        <f>Order_Report[[#This Row],[order weight ]]*Order_Report[[#This Row],[Order Qty]]</f>
        <v>290</v>
      </c>
      <c r="N37" s="2">
        <v>2001811363</v>
      </c>
      <c r="O37">
        <f>SUMIFS(Order_Report[_total weight ],Order_Report[ExternOrderNo],$N37)</f>
        <v>343</v>
      </c>
      <c r="P37">
        <f>CEILING(Table8[[#This Row],[Total weight ]],0.5)</f>
        <v>343</v>
      </c>
      <c r="Q37" t="str">
        <f>_xlfn.XLOOKUP(Table8[[#This Row],[Ext Order No]],Invoice[Order ID],Invoice[Zone])</f>
        <v>d</v>
      </c>
      <c r="R37" t="str">
        <f>IF(pincodes[[#Headers],[Matching status]]="matched",'(abc)pincodes'!C36,'(abc)pincodes'!C36)</f>
        <v>d</v>
      </c>
      <c r="S37" t="str">
        <f>_xlfn.XLOOKUP(Table8[[#This Row],[ABC area ]],Invoice[Zone],Invoice[Type of Shipment])</f>
        <v>Forward charges</v>
      </c>
      <c r="T37" t="s">
        <v>119</v>
      </c>
      <c r="V37">
        <f>_xlfn.XLOOKUP(Table8[[#This Row],[Ext Order No]],Invoice[Order ID],Invoice[Billing Amount (Rs.)],"not found")</f>
        <v>90.2</v>
      </c>
      <c r="W37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7">
        <f>_xlfn.XLOOKUP(Table8[[#This Row],[Ext Order No]],Invoice[Order ID],Invoice[AWB Code])</f>
        <v>1091117958395</v>
      </c>
      <c r="Y37" s="4">
        <f>((Table8[[#This Row],[Courirer Price ]]-Table8[[#This Row],[Expected Price]])/Table8[[#This Row],[Expected Price]])*100</f>
        <v>98.678414096916313</v>
      </c>
      <c r="Z37" s="4" t="str">
        <f>IF(Table8[[#This Row],[%change]]&gt;0,"Over Charged",IF(Table8[[#This Row],[%change]]=0,"Perfectly Charged",IF(Table8[[#This Row],[%change]]&lt;0,"Under Charged")))</f>
        <v>Over Charged</v>
      </c>
    </row>
    <row r="38" spans="1:26" x14ac:dyDescent="0.3">
      <c r="A38">
        <v>2001821185</v>
      </c>
      <c r="B38" t="s">
        <v>52</v>
      </c>
      <c r="C38">
        <v>1</v>
      </c>
      <c r="D38">
        <f>_xlfn.XLOOKUP(Order_Report[[#This Row],[SKU]],SKU_Master[SKU],SKU_Master[Weight (g)],"not found")</f>
        <v>290</v>
      </c>
      <c r="E38">
        <f>Order_Report[[#This Row],[order weight ]]*Order_Report[[#This Row],[Order Qty]]</f>
        <v>290</v>
      </c>
      <c r="N38" s="1">
        <v>2001811306</v>
      </c>
      <c r="O38">
        <f>SUMIFS(Order_Report[_total weight ],Order_Report[ExternOrderNo],$N38)</f>
        <v>945</v>
      </c>
      <c r="P38">
        <f>CEILING(Table8[[#This Row],[Total weight ]],0.5)</f>
        <v>945</v>
      </c>
      <c r="Q38" t="str">
        <f>_xlfn.XLOOKUP(Table8[[#This Row],[Ext Order No]],Invoice[Order ID],Invoice[Zone])</f>
        <v>d</v>
      </c>
      <c r="R38" t="str">
        <f>IF(pincodes[[#Headers],[Matching status]]="matched",'(abc)pincodes'!C37,'(abc)pincodes'!C37)</f>
        <v>b</v>
      </c>
      <c r="S38" t="str">
        <f>_xlfn.XLOOKUP(Table8[[#This Row],[ABC area ]],Invoice[Zone],Invoice[Type of Shipment])</f>
        <v>Forward charges</v>
      </c>
      <c r="T38" t="s">
        <v>119</v>
      </c>
      <c r="V38">
        <f>_xlfn.XLOOKUP(Table8[[#This Row],[Ext Order No]],Invoice[Order ID],Invoice[Billing Amount (Rs.)],"not found")</f>
        <v>135</v>
      </c>
      <c r="W3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38">
        <f>_xlfn.XLOOKUP(Table8[[#This Row],[Ext Order No]],Invoice[Order ID],Invoice[AWB Code])</f>
        <v>1091117958163</v>
      </c>
      <c r="Y38" s="4">
        <f>((Table8[[#This Row],[Courirer Price ]]-Table8[[#This Row],[Expected Price]])/Table8[[#This Row],[Expected Price]])*100</f>
        <v>309.09090909090907</v>
      </c>
      <c r="Z38" s="4" t="str">
        <f>IF(Table8[[#This Row],[%change]]&gt;0,"Over Charged",IF(Table8[[#This Row],[%change]]=0,"Perfectly Charged",IF(Table8[[#This Row],[%change]]&lt;0,"Under Charged")))</f>
        <v>Over Charged</v>
      </c>
    </row>
    <row r="39" spans="1:26" x14ac:dyDescent="0.3">
      <c r="A39">
        <v>2001821185</v>
      </c>
      <c r="B39" t="s">
        <v>53</v>
      </c>
      <c r="C39">
        <v>1</v>
      </c>
      <c r="D39">
        <f>_xlfn.XLOOKUP(Order_Report[[#This Row],[SKU]],SKU_Master[SKU],SKU_Master[Weight (g)],"not found")</f>
        <v>290</v>
      </c>
      <c r="E39">
        <f>Order_Report[[#This Row],[order weight ]]*Order_Report[[#This Row],[Order Qty]]</f>
        <v>290</v>
      </c>
      <c r="N39" s="1">
        <v>2001811305</v>
      </c>
      <c r="O39">
        <f>SUMIFS(Order_Report[_total weight ],Order_Report[ExternOrderNo],$N39)</f>
        <v>750</v>
      </c>
      <c r="P39">
        <f>CEILING(Table8[[#This Row],[Total weight ]],0.5)</f>
        <v>750</v>
      </c>
      <c r="Q39" t="str">
        <f>_xlfn.XLOOKUP(Table8[[#This Row],[Ext Order No]],Invoice[Order ID],Invoice[Zone])</f>
        <v>d</v>
      </c>
      <c r="R39" t="str">
        <f>IF(pincodes[[#Headers],[Matching status]]="matched",'(abc)pincodes'!C38,'(abc)pincodes'!C38)</f>
        <v>d</v>
      </c>
      <c r="S39" t="str">
        <f>_xlfn.XLOOKUP(Table8[[#This Row],[ABC area ]],Invoice[Zone],Invoice[Type of Shipment])</f>
        <v>Forward charges</v>
      </c>
      <c r="T39" t="s">
        <v>119</v>
      </c>
      <c r="V39">
        <f>_xlfn.XLOOKUP(Table8[[#This Row],[Ext Order No]],Invoice[Order ID],Invoice[Billing Amount (Rs.)],"not found")</f>
        <v>45.4</v>
      </c>
      <c r="W39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39">
        <f>_xlfn.XLOOKUP(Table8[[#This Row],[Ext Order No]],Invoice[Order ID],Invoice[AWB Code])</f>
        <v>1091121846136</v>
      </c>
      <c r="Y39" s="4">
        <f>((Table8[[#This Row],[Courirer Price ]]-Table8[[#This Row],[Expected Price]])/Table8[[#This Row],[Expected Price]])*100</f>
        <v>0</v>
      </c>
      <c r="Z39" s="4" t="str">
        <f>IF(Table8[[#This Row],[%change]]&gt;0,"Over Charged",IF(Table8[[#This Row],[%change]]=0,"Perfectly Charged",IF(Table8[[#This Row],[%change]]&lt;0,"Under Charged")))</f>
        <v>Perfectly Charged</v>
      </c>
    </row>
    <row r="40" spans="1:26" x14ac:dyDescent="0.3">
      <c r="A40">
        <v>2001821185</v>
      </c>
      <c r="B40" t="s">
        <v>23</v>
      </c>
      <c r="C40">
        <v>1</v>
      </c>
      <c r="D40">
        <f>_xlfn.XLOOKUP(Order_Report[[#This Row],[SKU]],SKU_Master[SKU],SKU_Master[Weight (g)],"not found")</f>
        <v>240</v>
      </c>
      <c r="E40">
        <f>Order_Report[[#This Row],[order weight ]]*Order_Report[[#This Row],[Order Qty]]</f>
        <v>240</v>
      </c>
      <c r="N40" s="1">
        <v>2001811229</v>
      </c>
      <c r="O40">
        <f>SUMIFS(Order_Report[_total weight ],Order_Report[ExternOrderNo],$N40)</f>
        <v>505</v>
      </c>
      <c r="P40">
        <f>CEILING(Table8[[#This Row],[Total weight ]],0.5)</f>
        <v>505</v>
      </c>
      <c r="Q40" t="str">
        <f>_xlfn.XLOOKUP(Table8[[#This Row],[Ext Order No]],Invoice[Order ID],Invoice[Zone])</f>
        <v>d</v>
      </c>
      <c r="R40" t="str">
        <f>IF(pincodes[[#Headers],[Matching status]]="matched",'(abc)pincodes'!C39,'(abc)pincodes'!C39)</f>
        <v>d</v>
      </c>
      <c r="S40" t="str">
        <f>_xlfn.XLOOKUP(Table8[[#This Row],[ABC area ]],Invoice[Zone],Invoice[Type of Shipment])</f>
        <v>Forward charges</v>
      </c>
      <c r="T40" t="s">
        <v>119</v>
      </c>
      <c r="V40">
        <f>_xlfn.XLOOKUP(Table8[[#This Row],[Ext Order No]],Invoice[Order ID],Invoice[Billing Amount (Rs.)],"not found")</f>
        <v>90.2</v>
      </c>
      <c r="W40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0">
        <f>_xlfn.XLOOKUP(Table8[[#This Row],[Ext Order No]],Invoice[Order ID],Invoice[AWB Code])</f>
        <v>1091117957942</v>
      </c>
      <c r="Y40" s="4">
        <f>((Table8[[#This Row],[Courirer Price ]]-Table8[[#This Row],[Expected Price]])/Table8[[#This Row],[Expected Price]])*100</f>
        <v>98.678414096916313</v>
      </c>
      <c r="Z40" s="4" t="str">
        <f>IF(Table8[[#This Row],[%change]]&gt;0,"Over Charged",IF(Table8[[#This Row],[%change]]=0,"Perfectly Charged",IF(Table8[[#This Row],[%change]]&lt;0,"Under Charged")))</f>
        <v>Over Charged</v>
      </c>
    </row>
    <row r="41" spans="1:26" x14ac:dyDescent="0.3">
      <c r="A41">
        <v>2001821185</v>
      </c>
      <c r="B41" t="s">
        <v>43</v>
      </c>
      <c r="C41">
        <v>1</v>
      </c>
      <c r="D41">
        <f>_xlfn.XLOOKUP(Order_Report[[#This Row],[SKU]],SKU_Master[SKU],SKU_Master[Weight (g)],"not found")</f>
        <v>240</v>
      </c>
      <c r="E41">
        <f>Order_Report[[#This Row],[order weight ]]*Order_Report[[#This Row],[Order Qty]]</f>
        <v>240</v>
      </c>
      <c r="N41" s="2">
        <v>2001811192</v>
      </c>
      <c r="O41">
        <f>SUMIFS(Order_Report[_total weight ],Order_Report[ExternOrderNo],$N41)</f>
        <v>1032</v>
      </c>
      <c r="P41">
        <f>CEILING(Table8[[#This Row],[Total weight ]],0.5)</f>
        <v>1032</v>
      </c>
      <c r="Q41" t="str">
        <f>_xlfn.XLOOKUP(Table8[[#This Row],[Ext Order No]],Invoice[Order ID],Invoice[Zone])</f>
        <v>d</v>
      </c>
      <c r="R41" t="str">
        <f>IF(pincodes[[#Headers],[Matching status]]="matched",'(abc)pincodes'!C40,'(abc)pincodes'!C40)</f>
        <v>d</v>
      </c>
      <c r="S41" t="str">
        <f>_xlfn.XLOOKUP(Table8[[#This Row],[ABC area ]],Invoice[Zone],Invoice[Type of Shipment])</f>
        <v>Forward charges</v>
      </c>
      <c r="T41" t="s">
        <v>119</v>
      </c>
      <c r="V41">
        <f>_xlfn.XLOOKUP(Table8[[#This Row],[Ext Order No]],Invoice[Order ID],Invoice[Billing Amount (Rs.)],"not found")</f>
        <v>258.89999999999998</v>
      </c>
      <c r="W41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1">
        <f>_xlfn.XLOOKUP(Table8[[#This Row],[Ext Order No]],Invoice[Order ID],Invoice[AWB Code])</f>
        <v>1091117957780</v>
      </c>
      <c r="Y41" s="4">
        <f>((Table8[[#This Row],[Courirer Price ]]-Table8[[#This Row],[Expected Price]])/Table8[[#This Row],[Expected Price]])*100</f>
        <v>470.26431718061667</v>
      </c>
      <c r="Z41" s="4" t="str">
        <f>IF(Table8[[#This Row],[%change]]&gt;0,"Over Charged",IF(Table8[[#This Row],[%change]]=0,"Perfectly Charged",IF(Table8[[#This Row],[%change]]&lt;0,"Under Charged")))</f>
        <v>Over Charged</v>
      </c>
    </row>
    <row r="42" spans="1:26" x14ac:dyDescent="0.3">
      <c r="A42">
        <v>2001821185</v>
      </c>
      <c r="B42" t="s">
        <v>30</v>
      </c>
      <c r="C42">
        <v>1</v>
      </c>
      <c r="D42">
        <f>_xlfn.XLOOKUP(Order_Report[[#This Row],[SKU]],SKU_Master[SKU],SKU_Master[Weight (g)],"not found")</f>
        <v>240</v>
      </c>
      <c r="E42">
        <f>Order_Report[[#This Row],[order weight ]]*Order_Report[[#This Row],[Order Qty]]</f>
        <v>240</v>
      </c>
      <c r="N42" s="2">
        <v>2001811153</v>
      </c>
      <c r="O42">
        <f>SUMIFS(Order_Report[_total weight ],Order_Report[ExternOrderNo],$N42)</f>
        <v>607</v>
      </c>
      <c r="P42">
        <f>CEILING(Table8[[#This Row],[Total weight ]],0.5)</f>
        <v>607</v>
      </c>
      <c r="Q42" t="str">
        <f>_xlfn.XLOOKUP(Table8[[#This Row],[Ext Order No]],Invoice[Order ID],Invoice[Zone])</f>
        <v>d</v>
      </c>
      <c r="R42" t="str">
        <f>IF(pincodes[[#Headers],[Matching status]]="matched",'(abc)pincodes'!C41,'(abc)pincodes'!C41)</f>
        <v>d</v>
      </c>
      <c r="S42" t="str">
        <f>_xlfn.XLOOKUP(Table8[[#This Row],[ABC area ]],Invoice[Zone],Invoice[Type of Shipment])</f>
        <v>Forward charges</v>
      </c>
      <c r="T42" t="s">
        <v>119</v>
      </c>
      <c r="V42">
        <f>_xlfn.XLOOKUP(Table8[[#This Row],[Ext Order No]],Invoice[Order ID],Invoice[Billing Amount (Rs.)],"not found")</f>
        <v>90.2</v>
      </c>
      <c r="W42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2">
        <f>_xlfn.XLOOKUP(Table8[[#This Row],[Ext Order No]],Invoice[Order ID],Invoice[AWB Code])</f>
        <v>1091117957533</v>
      </c>
      <c r="Y42" s="4">
        <f>((Table8[[#This Row],[Courirer Price ]]-Table8[[#This Row],[Expected Price]])/Table8[[#This Row],[Expected Price]])*100</f>
        <v>98.678414096916313</v>
      </c>
      <c r="Z42" s="4" t="str">
        <f>IF(Table8[[#This Row],[%change]]&gt;0,"Over Charged",IF(Table8[[#This Row],[%change]]=0,"Perfectly Charged",IF(Table8[[#This Row],[%change]]&lt;0,"Under Charged")))</f>
        <v>Over Charged</v>
      </c>
    </row>
    <row r="43" spans="1:26" x14ac:dyDescent="0.3">
      <c r="A43">
        <v>2001820978</v>
      </c>
      <c r="B43" t="s">
        <v>7</v>
      </c>
      <c r="C43">
        <v>1</v>
      </c>
      <c r="D43">
        <f>_xlfn.XLOOKUP(Order_Report[[#This Row],[SKU]],SKU_Master[SKU],SKU_Master[Weight (g)],"not found")</f>
        <v>165</v>
      </c>
      <c r="E43">
        <f>Order_Report[[#This Row],[order weight ]]*Order_Report[[#This Row],[Order Qty]]</f>
        <v>165</v>
      </c>
      <c r="N43" s="1">
        <v>2001811058</v>
      </c>
      <c r="O43">
        <f>SUMIFS(Order_Report[_total weight ],Order_Report[ExternOrderNo],$N43)</f>
        <v>500</v>
      </c>
      <c r="P43">
        <f>CEILING(Table8[[#This Row],[Total weight ]],0.5)</f>
        <v>500</v>
      </c>
      <c r="Q43" t="str">
        <f>_xlfn.XLOOKUP(Table8[[#This Row],[Ext Order No]],Invoice[Order ID],Invoice[Zone])</f>
        <v>d</v>
      </c>
      <c r="R43" t="str">
        <f>IF(pincodes[[#Headers],[Matching status]]="matched",'(abc)pincodes'!C42,'(abc)pincodes'!C42)</f>
        <v>b</v>
      </c>
      <c r="S43" t="str">
        <f>_xlfn.XLOOKUP(Table8[[#This Row],[ABC area ]],Invoice[Zone],Invoice[Type of Shipment])</f>
        <v>Forward charges</v>
      </c>
      <c r="T43" t="s">
        <v>119</v>
      </c>
      <c r="V43">
        <f>_xlfn.XLOOKUP(Table8[[#This Row],[Ext Order No]],Invoice[Order ID],Invoice[Billing Amount (Rs.)],"not found")</f>
        <v>90.2</v>
      </c>
      <c r="W4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43">
        <f>_xlfn.XLOOKUP(Table8[[#This Row],[Ext Order No]],Invoice[Order ID],Invoice[AWB Code])</f>
        <v>1091117905022</v>
      </c>
      <c r="Y43" s="4">
        <f>((Table8[[#This Row],[Courirer Price ]]-Table8[[#This Row],[Expected Price]])/Table8[[#This Row],[Expected Price]])*100</f>
        <v>173.33333333333334</v>
      </c>
      <c r="Z43" s="4" t="str">
        <f>IF(Table8[[#This Row],[%change]]&gt;0,"Over Charged",IF(Table8[[#This Row],[%change]]=0,"Perfectly Charged",IF(Table8[[#This Row],[%change]]&lt;0,"Under Charged")))</f>
        <v>Over Charged</v>
      </c>
    </row>
    <row r="44" spans="1:26" x14ac:dyDescent="0.3">
      <c r="A44">
        <v>2001820978</v>
      </c>
      <c r="B44" t="s">
        <v>14</v>
      </c>
      <c r="C44">
        <v>1</v>
      </c>
      <c r="D44">
        <f>_xlfn.XLOOKUP(Order_Report[[#This Row],[SKU]],SKU_Master[SKU],SKU_Master[Weight (g)],"not found")</f>
        <v>350</v>
      </c>
      <c r="E44">
        <f>Order_Report[[#This Row],[order weight ]]*Order_Report[[#This Row],[Order Qty]]</f>
        <v>350</v>
      </c>
      <c r="N44" s="2">
        <v>2001811039</v>
      </c>
      <c r="O44">
        <f>SUMIFS(Order_Report[_total weight ],Order_Report[ExternOrderNo],$N44)</f>
        <v>488</v>
      </c>
      <c r="P44">
        <f>CEILING(Table8[[#This Row],[Total weight ]],0.5)</f>
        <v>488</v>
      </c>
      <c r="Q44" t="str">
        <f>_xlfn.XLOOKUP(Table8[[#This Row],[Ext Order No]],Invoice[Order ID],Invoice[Zone])</f>
        <v>d</v>
      </c>
      <c r="R44" t="str">
        <f>IF(pincodes[[#Headers],[Matching status]]="matched",'(abc)pincodes'!C43,'(abc)pincodes'!C43)</f>
        <v>d</v>
      </c>
      <c r="S44" t="str">
        <f>_xlfn.XLOOKUP(Table8[[#This Row],[ABC area ]],Invoice[Zone],Invoice[Type of Shipment])</f>
        <v>Forward charges</v>
      </c>
      <c r="T44" t="s">
        <v>119</v>
      </c>
      <c r="V44">
        <f>_xlfn.XLOOKUP(Table8[[#This Row],[Ext Order No]],Invoice[Order ID],Invoice[Billing Amount (Rs.)],"not found")</f>
        <v>90.2</v>
      </c>
      <c r="W4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4">
        <f>_xlfn.XLOOKUP(Table8[[#This Row],[Ext Order No]],Invoice[Order ID],Invoice[AWB Code])</f>
        <v>1091117904860</v>
      </c>
      <c r="Y44" s="4">
        <f>((Table8[[#This Row],[Courirer Price ]]-Table8[[#This Row],[Expected Price]])/Table8[[#This Row],[Expected Price]])*100</f>
        <v>98.678414096916313</v>
      </c>
      <c r="Z44" s="4" t="str">
        <f>IF(Table8[[#This Row],[%change]]&gt;0,"Over Charged",IF(Table8[[#This Row],[%change]]=0,"Perfectly Charged",IF(Table8[[#This Row],[%change]]&lt;0,"Under Charged")))</f>
        <v>Over Charged</v>
      </c>
    </row>
    <row r="45" spans="1:26" x14ac:dyDescent="0.3">
      <c r="A45">
        <v>2001820690</v>
      </c>
      <c r="B45" t="s">
        <v>12</v>
      </c>
      <c r="C45">
        <v>1</v>
      </c>
      <c r="D45">
        <f>_xlfn.XLOOKUP(Order_Report[[#This Row],[SKU]],SKU_Master[SKU],SKU_Master[Weight (g)],"not found")</f>
        <v>65</v>
      </c>
      <c r="E45">
        <f>Order_Report[[#This Row],[order weight ]]*Order_Report[[#This Row],[Order Qty]]</f>
        <v>65</v>
      </c>
      <c r="N45" s="1">
        <v>2001810697</v>
      </c>
      <c r="O45">
        <f>SUMIFS(Order_Report[_total weight ],Order_Report[ExternOrderNo],$N45)</f>
        <v>607</v>
      </c>
      <c r="P45">
        <f>CEILING(Table8[[#This Row],[Total weight ]],0.5)</f>
        <v>607</v>
      </c>
      <c r="Q45" t="str">
        <f>_xlfn.XLOOKUP(Table8[[#This Row],[Ext Order No]],Invoice[Order ID],Invoice[Zone])</f>
        <v>d</v>
      </c>
      <c r="R45" t="str">
        <f>IF(pincodes[[#Headers],[Matching status]]="matched",'(abc)pincodes'!C44,'(abc)pincodes'!C44)</f>
        <v>b</v>
      </c>
      <c r="S45" t="str">
        <f>_xlfn.XLOOKUP(Table8[[#This Row],[ABC area ]],Invoice[Zone],Invoice[Type of Shipment])</f>
        <v>Forward charges</v>
      </c>
      <c r="T45" t="s">
        <v>119</v>
      </c>
      <c r="V45">
        <f>_xlfn.XLOOKUP(Table8[[#This Row],[Ext Order No]],Invoice[Order ID],Invoice[Billing Amount (Rs.)],"not found")</f>
        <v>224.6</v>
      </c>
      <c r="W4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45">
        <f>_xlfn.XLOOKUP(Table8[[#This Row],[Ext Order No]],Invoice[Order ID],Invoice[AWB Code])</f>
        <v>1091117807140</v>
      </c>
      <c r="Y45" s="4">
        <f>((Table8[[#This Row],[Courirer Price ]]-Table8[[#This Row],[Expected Price]])/Table8[[#This Row],[Expected Price]])*100</f>
        <v>580.60606060606062</v>
      </c>
      <c r="Z45" s="4" t="str">
        <f>IF(Table8[[#This Row],[%change]]&gt;0,"Over Charged",IF(Table8[[#This Row],[%change]]=0,"Perfectly Charged",IF(Table8[[#This Row],[%change]]&lt;0,"Under Charged")))</f>
        <v>Over Charged</v>
      </c>
    </row>
    <row r="46" spans="1:26" x14ac:dyDescent="0.3">
      <c r="A46">
        <v>2001819252</v>
      </c>
      <c r="B46" t="s">
        <v>34</v>
      </c>
      <c r="C46">
        <v>1</v>
      </c>
      <c r="D46">
        <f>_xlfn.XLOOKUP(Order_Report[[#This Row],[SKU]],SKU_Master[SKU],SKU_Master[Weight (g)],"not found")</f>
        <v>133</v>
      </c>
      <c r="E46">
        <f>Order_Report[[#This Row],[order weight ]]*Order_Report[[#This Row],[Order Qty]]</f>
        <v>133</v>
      </c>
      <c r="N46" s="2">
        <v>2001810549</v>
      </c>
      <c r="O46">
        <f>SUMIFS(Order_Report[_total weight ],Order_Report[ExternOrderNo],$N46)</f>
        <v>986</v>
      </c>
      <c r="P46">
        <f>CEILING(Table8[[#This Row],[Total weight ]],0.5)</f>
        <v>986</v>
      </c>
      <c r="Q46" t="str">
        <f>_xlfn.XLOOKUP(Table8[[#This Row],[Ext Order No]],Invoice[Order ID],Invoice[Zone])</f>
        <v>d</v>
      </c>
      <c r="R46" t="str">
        <f>IF(pincodes[[#Headers],[Matching status]]="matched",'(abc)pincodes'!C45,'(abc)pincodes'!C45)</f>
        <v>b</v>
      </c>
      <c r="S46" t="str">
        <f>_xlfn.XLOOKUP(Table8[[#This Row],[ABC area ]],Invoice[Zone],Invoice[Type of Shipment])</f>
        <v>Forward charges</v>
      </c>
      <c r="T46" t="s">
        <v>119</v>
      </c>
      <c r="V46">
        <f>_xlfn.XLOOKUP(Table8[[#This Row],[Ext Order No]],Invoice[Order ID],Invoice[Billing Amount (Rs.)],"not found")</f>
        <v>179.8</v>
      </c>
      <c r="W4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46">
        <f>_xlfn.XLOOKUP(Table8[[#This Row],[Ext Order No]],Invoice[Order ID],Invoice[AWB Code])</f>
        <v>1091117806263</v>
      </c>
      <c r="Y46" s="4">
        <f>((Table8[[#This Row],[Courirer Price ]]-Table8[[#This Row],[Expected Price]])/Table8[[#This Row],[Expected Price]])*100</f>
        <v>444.84848484848493</v>
      </c>
      <c r="Z46" s="4" t="str">
        <f>IF(Table8[[#This Row],[%change]]&gt;0,"Over Charged",IF(Table8[[#This Row],[%change]]=0,"Perfectly Charged",IF(Table8[[#This Row],[%change]]&lt;0,"Under Charged")))</f>
        <v>Over Charged</v>
      </c>
    </row>
    <row r="47" spans="1:26" x14ac:dyDescent="0.3">
      <c r="A47">
        <v>2001819252</v>
      </c>
      <c r="B47" t="s">
        <v>25</v>
      </c>
      <c r="C47">
        <v>1</v>
      </c>
      <c r="D47">
        <f>_xlfn.XLOOKUP(Order_Report[[#This Row],[SKU]],SKU_Master[SKU],SKU_Master[Weight (g)],"not found")</f>
        <v>127</v>
      </c>
      <c r="E47">
        <f>Order_Report[[#This Row],[order weight ]]*Order_Report[[#This Row],[Order Qty]]</f>
        <v>127</v>
      </c>
      <c r="N47" s="2">
        <v>2001810281</v>
      </c>
      <c r="O47">
        <f>SUMIFS(Order_Report[_total weight ],Order_Report[ExternOrderNo],$N47)</f>
        <v>500</v>
      </c>
      <c r="P47">
        <f>CEILING(Table8[[#This Row],[Total weight ]],0.5)</f>
        <v>500</v>
      </c>
      <c r="Q47" t="str">
        <f>_xlfn.XLOOKUP(Table8[[#This Row],[Ext Order No]],Invoice[Order ID],Invoice[Zone])</f>
        <v>d</v>
      </c>
      <c r="R47" t="str">
        <f>IF(pincodes[[#Headers],[Matching status]]="matched",'(abc)pincodes'!C46,'(abc)pincodes'!C46)</f>
        <v>d</v>
      </c>
      <c r="S47" t="str">
        <f>_xlfn.XLOOKUP(Table8[[#This Row],[ABC area ]],Invoice[Zone],Invoice[Type of Shipment])</f>
        <v>Forward charges</v>
      </c>
      <c r="T47" t="s">
        <v>119</v>
      </c>
      <c r="V47">
        <f>_xlfn.XLOOKUP(Table8[[#This Row],[Ext Order No]],Invoice[Order ID],Invoice[Billing Amount (Rs.)],"not found")</f>
        <v>90.2</v>
      </c>
      <c r="W47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7">
        <f>_xlfn.XLOOKUP(Table8[[#This Row],[Ext Order No]],Invoice[Order ID],Invoice[AWB Code])</f>
        <v>1091117805390</v>
      </c>
      <c r="Y47" s="4">
        <f>((Table8[[#This Row],[Courirer Price ]]-Table8[[#This Row],[Expected Price]])/Table8[[#This Row],[Expected Price]])*100</f>
        <v>98.678414096916313</v>
      </c>
      <c r="Z47" s="4" t="str">
        <f>IF(Table8[[#This Row],[%change]]&gt;0,"Over Charged",IF(Table8[[#This Row],[%change]]=0,"Perfectly Charged",IF(Table8[[#This Row],[%change]]&lt;0,"Under Charged")))</f>
        <v>Over Charged</v>
      </c>
    </row>
    <row r="48" spans="1:26" x14ac:dyDescent="0.3">
      <c r="A48">
        <v>2001819252</v>
      </c>
      <c r="B48" t="s">
        <v>70</v>
      </c>
      <c r="C48">
        <v>1</v>
      </c>
      <c r="D48">
        <f>_xlfn.XLOOKUP(Order_Report[[#This Row],[SKU]],SKU_Master[SKU],SKU_Master[Weight (g)],"not found")</f>
        <v>10</v>
      </c>
      <c r="E48">
        <f>Order_Report[[#This Row],[order weight ]]*Order_Report[[#This Row],[Order Qty]]</f>
        <v>10</v>
      </c>
      <c r="N48" s="1">
        <v>2001810125</v>
      </c>
      <c r="O48">
        <f>SUMIFS(Order_Report[_total weight ],Order_Report[ExternOrderNo],$N48)</f>
        <v>500</v>
      </c>
      <c r="P48">
        <f>CEILING(Table8[[#This Row],[Total weight ]],0.5)</f>
        <v>500</v>
      </c>
      <c r="Q48" t="str">
        <f>_xlfn.XLOOKUP(Table8[[#This Row],[Ext Order No]],Invoice[Order ID],Invoice[Zone])</f>
        <v>d</v>
      </c>
      <c r="R48" t="str">
        <f>IF(pincodes[[#Headers],[Matching status]]="matched",'(abc)pincodes'!C47,'(abc)pincodes'!C47)</f>
        <v>d</v>
      </c>
      <c r="S48" t="str">
        <f>_xlfn.XLOOKUP(Table8[[#This Row],[ABC area ]],Invoice[Zone],Invoice[Type of Shipment])</f>
        <v>Forward charges</v>
      </c>
      <c r="T48" t="s">
        <v>119</v>
      </c>
      <c r="V48">
        <f>_xlfn.XLOOKUP(Table8[[#This Row],[Ext Order No]],Invoice[Order ID],Invoice[Billing Amount (Rs.)],"not found")</f>
        <v>90.2</v>
      </c>
      <c r="W48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8">
        <f>_xlfn.XLOOKUP(Table8[[#This Row],[Ext Order No]],Invoice[Order ID],Invoice[AWB Code])</f>
        <v>1091117804314</v>
      </c>
      <c r="Y48" s="4">
        <f>((Table8[[#This Row],[Courirer Price ]]-Table8[[#This Row],[Expected Price]])/Table8[[#This Row],[Expected Price]])*100</f>
        <v>98.678414096916313</v>
      </c>
      <c r="Z48" s="4" t="str">
        <f>IF(Table8[[#This Row],[%change]]&gt;0,"Over Charged",IF(Table8[[#This Row],[%change]]=0,"Perfectly Charged",IF(Table8[[#This Row],[%change]]&lt;0,"Under Charged")))</f>
        <v>Over Charged</v>
      </c>
    </row>
    <row r="49" spans="1:26" x14ac:dyDescent="0.3">
      <c r="A49">
        <v>2001818390</v>
      </c>
      <c r="B49" t="s">
        <v>43</v>
      </c>
      <c r="C49">
        <v>1</v>
      </c>
      <c r="D49">
        <f>_xlfn.XLOOKUP(Order_Report[[#This Row],[SKU]],SKU_Master[SKU],SKU_Master[Weight (g)],"not found")</f>
        <v>240</v>
      </c>
      <c r="E49">
        <f>Order_Report[[#This Row],[order weight ]]*Order_Report[[#This Row],[Order Qty]]</f>
        <v>240</v>
      </c>
      <c r="N49" s="2">
        <v>2001810104</v>
      </c>
      <c r="O49">
        <f>SUMIFS(Order_Report[_total weight ],Order_Report[ExternOrderNo],$N49)</f>
        <v>601</v>
      </c>
      <c r="P49">
        <f>CEILING(Table8[[#This Row],[Total weight ]],0.5)</f>
        <v>601</v>
      </c>
      <c r="Q49" t="str">
        <f>_xlfn.XLOOKUP(Table8[[#This Row],[Ext Order No]],Invoice[Order ID],Invoice[Zone])</f>
        <v>d</v>
      </c>
      <c r="R49" t="str">
        <f>IF(pincodes[[#Headers],[Matching status]]="matched",'(abc)pincodes'!C48,'(abc)pincodes'!C48)</f>
        <v>d</v>
      </c>
      <c r="S49" t="str">
        <f>_xlfn.XLOOKUP(Table8[[#This Row],[ABC area ]],Invoice[Zone],Invoice[Type of Shipment])</f>
        <v>Forward charges</v>
      </c>
      <c r="T49" t="s">
        <v>119</v>
      </c>
      <c r="V49">
        <f>_xlfn.XLOOKUP(Table8[[#This Row],[Ext Order No]],Invoice[Order ID],Invoice[Billing Amount (Rs.)],"not found")</f>
        <v>90.2</v>
      </c>
      <c r="W49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49">
        <f>_xlfn.XLOOKUP(Table8[[#This Row],[Ext Order No]],Invoice[Order ID],Invoice[AWB Code])</f>
        <v>1091117804200</v>
      </c>
      <c r="Y49" s="4">
        <f>((Table8[[#This Row],[Courirer Price ]]-Table8[[#This Row],[Expected Price]])/Table8[[#This Row],[Expected Price]])*100</f>
        <v>98.678414096916313</v>
      </c>
      <c r="Z49" s="4" t="str">
        <f>IF(Table8[[#This Row],[%change]]&gt;0,"Over Charged",IF(Table8[[#This Row],[%change]]=0,"Perfectly Charged",IF(Table8[[#This Row],[%change]]&lt;0,"Under Charged")))</f>
        <v>Over Charged</v>
      </c>
    </row>
    <row r="50" spans="1:26" x14ac:dyDescent="0.3">
      <c r="A50">
        <v>2001818390</v>
      </c>
      <c r="B50" t="s">
        <v>31</v>
      </c>
      <c r="C50">
        <v>4</v>
      </c>
      <c r="D50">
        <f>_xlfn.XLOOKUP(Order_Report[[#This Row],[SKU]],SKU_Master[SKU],SKU_Master[Weight (g)],"not found")</f>
        <v>120</v>
      </c>
      <c r="E50">
        <f>Order_Report[[#This Row],[order weight ]]*Order_Report[[#This Row],[Order Qty]]</f>
        <v>480</v>
      </c>
      <c r="N50" s="1">
        <v>2001809934</v>
      </c>
      <c r="O50">
        <f>SUMIFS(Order_Report[_total weight ],Order_Report[ExternOrderNo],$N50)</f>
        <v>361</v>
      </c>
      <c r="P50">
        <f>CEILING(Table8[[#This Row],[Total weight ]],0.5)</f>
        <v>361</v>
      </c>
      <c r="Q50" t="str">
        <f>_xlfn.XLOOKUP(Table8[[#This Row],[Ext Order No]],Invoice[Order ID],Invoice[Zone])</f>
        <v>d</v>
      </c>
      <c r="R50" t="str">
        <f>IF(pincodes[[#Headers],[Matching status]]="matched",'(abc)pincodes'!C49,'(abc)pincodes'!C49)</f>
        <v>d</v>
      </c>
      <c r="S50" t="str">
        <f>_xlfn.XLOOKUP(Table8[[#This Row],[ABC area ]],Invoice[Zone],Invoice[Type of Shipment])</f>
        <v>Forward charges</v>
      </c>
      <c r="T50" t="s">
        <v>119</v>
      </c>
      <c r="V50">
        <f>_xlfn.XLOOKUP(Table8[[#This Row],[Ext Order No]],Invoice[Order ID],Invoice[Billing Amount (Rs.)],"not found")</f>
        <v>90.2</v>
      </c>
      <c r="W50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0">
        <f>_xlfn.XLOOKUP(Table8[[#This Row],[Ext Order No]],Invoice[Order ID],Invoice[AWB Code])</f>
        <v>1091117803511</v>
      </c>
      <c r="Y50" s="4">
        <f>((Table8[[#This Row],[Courirer Price ]]-Table8[[#This Row],[Expected Price]])/Table8[[#This Row],[Expected Price]])*100</f>
        <v>98.678414096916313</v>
      </c>
      <c r="Z50" s="4" t="str">
        <f>IF(Table8[[#This Row],[%change]]&gt;0,"Over Charged",IF(Table8[[#This Row],[%change]]=0,"Perfectly Charged",IF(Table8[[#This Row],[%change]]&lt;0,"Under Charged")))</f>
        <v>Over Charged</v>
      </c>
    </row>
    <row r="51" spans="1:26" x14ac:dyDescent="0.3">
      <c r="A51">
        <v>2001818390</v>
      </c>
      <c r="B51" t="s">
        <v>24</v>
      </c>
      <c r="C51">
        <v>1</v>
      </c>
      <c r="D51">
        <f>_xlfn.XLOOKUP(Order_Report[[#This Row],[SKU]],SKU_Master[SKU],SKU_Master[Weight (g)],"not found")</f>
        <v>121</v>
      </c>
      <c r="E51">
        <f>Order_Report[[#This Row],[order weight ]]*Order_Report[[#This Row],[Order Qty]]</f>
        <v>121</v>
      </c>
      <c r="N51" s="1">
        <v>2001809917</v>
      </c>
      <c r="O51">
        <f>SUMIFS(Order_Report[_total weight ],Order_Report[ExternOrderNo],$N51)</f>
        <v>630</v>
      </c>
      <c r="P51">
        <f>CEILING(Table8[[#This Row],[Total weight ]],0.5)</f>
        <v>630</v>
      </c>
      <c r="Q51" t="str">
        <f>_xlfn.XLOOKUP(Table8[[#This Row],[Ext Order No]],Invoice[Order ID],Invoice[Zone])</f>
        <v>d</v>
      </c>
      <c r="R51" t="str">
        <f>IF(pincodes[[#Headers],[Matching status]]="matched",'(abc)pincodes'!C50,'(abc)pincodes'!C50)</f>
        <v>b</v>
      </c>
      <c r="S51" t="str">
        <f>_xlfn.XLOOKUP(Table8[[#This Row],[ABC area ]],Invoice[Zone],Invoice[Type of Shipment])</f>
        <v>Forward charges</v>
      </c>
      <c r="T51" t="s">
        <v>119</v>
      </c>
      <c r="V51">
        <f>_xlfn.XLOOKUP(Table8[[#This Row],[Ext Order No]],Invoice[Order ID],Invoice[Billing Amount (Rs.)],"not found")</f>
        <v>172.8</v>
      </c>
      <c r="W5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51">
        <f>_xlfn.XLOOKUP(Table8[[#This Row],[Ext Order No]],Invoice[Order ID],Invoice[AWB Code])</f>
        <v>1091121482593</v>
      </c>
      <c r="Y51" s="4">
        <f>((Table8[[#This Row],[Courirer Price ]]-Table8[[#This Row],[Expected Price]])/Table8[[#This Row],[Expected Price]])*100</f>
        <v>423.63636363636363</v>
      </c>
      <c r="Z51" s="4" t="str">
        <f>IF(Table8[[#This Row],[%change]]&gt;0,"Over Charged",IF(Table8[[#This Row],[%change]]=0,"Perfectly Charged",IF(Table8[[#This Row],[%change]]&lt;0,"Under Charged")))</f>
        <v>Over Charged</v>
      </c>
    </row>
    <row r="52" spans="1:26" x14ac:dyDescent="0.3">
      <c r="A52">
        <v>2001817160</v>
      </c>
      <c r="B52" t="s">
        <v>16</v>
      </c>
      <c r="C52">
        <v>1</v>
      </c>
      <c r="D52">
        <f>_xlfn.XLOOKUP(Order_Report[[#This Row],[SKU]],SKU_Master[SKU],SKU_Master[Weight (g)],"not found")</f>
        <v>350</v>
      </c>
      <c r="E52">
        <f>Order_Report[[#This Row],[order weight ]]*Order_Report[[#This Row],[Order Qty]]</f>
        <v>350</v>
      </c>
      <c r="N52" s="2">
        <v>2001809820</v>
      </c>
      <c r="O52">
        <f>SUMIFS(Order_Report[_total weight ],Order_Report[ExternOrderNo],$N52)</f>
        <v>3080</v>
      </c>
      <c r="P52">
        <f>CEILING(Table8[[#This Row],[Total weight ]],0.5)</f>
        <v>3080</v>
      </c>
      <c r="Q52" t="str">
        <f>_xlfn.XLOOKUP(Table8[[#This Row],[Ext Order No]],Invoice[Order ID],Invoice[Zone])</f>
        <v>d</v>
      </c>
      <c r="R52" t="str">
        <f>IF(pincodes[[#Headers],[Matching status]]="matched",'(abc)pincodes'!C51,'(abc)pincodes'!C51)</f>
        <v>d</v>
      </c>
      <c r="S52" t="str">
        <f>_xlfn.XLOOKUP(Table8[[#This Row],[ABC area ]],Invoice[Zone],Invoice[Type of Shipment])</f>
        <v>Forward charges</v>
      </c>
      <c r="T52" t="s">
        <v>119</v>
      </c>
      <c r="V52">
        <f>_xlfn.XLOOKUP(Table8[[#This Row],[Ext Order No]],Invoice[Order ID],Invoice[Billing Amount (Rs.)],"not found")</f>
        <v>269.39999999999998</v>
      </c>
      <c r="W52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2">
        <f>_xlfn.XLOOKUP(Table8[[#This Row],[Ext Order No]],Invoice[Order ID],Invoice[AWB Code])</f>
        <v>1091117795623</v>
      </c>
      <c r="Y52" s="4">
        <f>((Table8[[#This Row],[Courirer Price ]]-Table8[[#This Row],[Expected Price]])/Table8[[#This Row],[Expected Price]])*100</f>
        <v>493.39207048458144</v>
      </c>
      <c r="Z52" s="4" t="str">
        <f>IF(Table8[[#This Row],[%change]]&gt;0,"Over Charged",IF(Table8[[#This Row],[%change]]=0,"Perfectly Charged",IF(Table8[[#This Row],[%change]]&lt;0,"Under Charged")))</f>
        <v>Over Charged</v>
      </c>
    </row>
    <row r="53" spans="1:26" x14ac:dyDescent="0.3">
      <c r="A53">
        <v>2001817160</v>
      </c>
      <c r="B53" t="s">
        <v>48</v>
      </c>
      <c r="C53">
        <v>1</v>
      </c>
      <c r="D53">
        <f>_xlfn.XLOOKUP(Order_Report[[#This Row],[SKU]],SKU_Master[SKU],SKU_Master[Weight (g)],"not found")</f>
        <v>350</v>
      </c>
      <c r="E53">
        <f>Order_Report[[#This Row],[order weight ]]*Order_Report[[#This Row],[Order Qty]]</f>
        <v>350</v>
      </c>
      <c r="N53" s="2">
        <v>2001809794</v>
      </c>
      <c r="O53">
        <f>SUMIFS(Order_Report[_total weight ],Order_Report[ExternOrderNo],$N53)</f>
        <v>1517</v>
      </c>
      <c r="P53">
        <f>CEILING(Table8[[#This Row],[Total weight ]],0.5)</f>
        <v>1517</v>
      </c>
      <c r="Q53" t="str">
        <f>_xlfn.XLOOKUP(Table8[[#This Row],[Ext Order No]],Invoice[Order ID],Invoice[Zone])</f>
        <v>d</v>
      </c>
      <c r="R53" t="str">
        <f>IF(pincodes[[#Headers],[Matching status]]="matched",'(abc)pincodes'!C52,'(abc)pincodes'!C52)</f>
        <v>d</v>
      </c>
      <c r="S53" t="str">
        <f>_xlfn.XLOOKUP(Table8[[#This Row],[ABC area ]],Invoice[Zone],Invoice[Type of Shipment])</f>
        <v>Forward charges</v>
      </c>
      <c r="T53" t="s">
        <v>119</v>
      </c>
      <c r="V53">
        <f>_xlfn.XLOOKUP(Table8[[#This Row],[Ext Order No]],Invoice[Order ID],Invoice[Billing Amount (Rs.)],"not found")</f>
        <v>135</v>
      </c>
      <c r="W53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3">
        <f>_xlfn.XLOOKUP(Table8[[#This Row],[Ext Order No]],Invoice[Order ID],Invoice[AWB Code])</f>
        <v>1091117795531</v>
      </c>
      <c r="Y53" s="4">
        <f>((Table8[[#This Row],[Courirer Price ]]-Table8[[#This Row],[Expected Price]])/Table8[[#This Row],[Expected Price]])*100</f>
        <v>197.3568281938326</v>
      </c>
      <c r="Z53" s="4" t="str">
        <f>IF(Table8[[#This Row],[%change]]&gt;0,"Over Charged",IF(Table8[[#This Row],[%change]]=0,"Perfectly Charged",IF(Table8[[#This Row],[%change]]&lt;0,"Under Charged")))</f>
        <v>Over Charged</v>
      </c>
    </row>
    <row r="54" spans="1:26" x14ac:dyDescent="0.3">
      <c r="A54">
        <v>2001817093</v>
      </c>
      <c r="B54" t="s">
        <v>10</v>
      </c>
      <c r="C54">
        <v>1</v>
      </c>
      <c r="D54">
        <f>_xlfn.XLOOKUP(Order_Report[[#This Row],[SKU]],SKU_Master[SKU],SKU_Master[Weight (g)],"not found")</f>
        <v>120</v>
      </c>
      <c r="E54">
        <f>Order_Report[[#This Row],[order weight ]]*Order_Report[[#This Row],[Order Qty]]</f>
        <v>120</v>
      </c>
      <c r="N54" s="1">
        <v>2001809592</v>
      </c>
      <c r="O54">
        <f>SUMIFS(Order_Report[_total weight ],Order_Report[ExternOrderNo],$N54)</f>
        <v>1505</v>
      </c>
      <c r="P54">
        <f>CEILING(Table8[[#This Row],[Total weight ]],0.5)</f>
        <v>1505</v>
      </c>
      <c r="Q54" t="str">
        <f>_xlfn.XLOOKUP(Table8[[#This Row],[Ext Order No]],Invoice[Order ID],Invoice[Zone])</f>
        <v>b</v>
      </c>
      <c r="R54" t="str">
        <f>IF(pincodes[[#Headers],[Matching status]]="matched",'(abc)pincodes'!C53,'(abc)pincodes'!C53)</f>
        <v>d</v>
      </c>
      <c r="S54" t="str">
        <f>_xlfn.XLOOKUP(Table8[[#This Row],[ABC area ]],Invoice[Zone],Invoice[Type of Shipment])</f>
        <v>Forward charges</v>
      </c>
      <c r="T54" t="s">
        <v>119</v>
      </c>
      <c r="V54">
        <f>_xlfn.XLOOKUP(Table8[[#This Row],[Ext Order No]],Invoice[Order ID],Invoice[Billing Amount (Rs.)],"not found")</f>
        <v>89.6</v>
      </c>
      <c r="W54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4">
        <f>_xlfn.XLOOKUP(Table8[[#This Row],[Ext Order No]],Invoice[Order ID],Invoice[AWB Code])</f>
        <v>1091117616121</v>
      </c>
      <c r="Y54" s="4">
        <f>((Table8[[#This Row],[Courirer Price ]]-Table8[[#This Row],[Expected Price]])/Table8[[#This Row],[Expected Price]])*100</f>
        <v>97.356828193832584</v>
      </c>
      <c r="Z54" s="4" t="str">
        <f>IF(Table8[[#This Row],[%change]]&gt;0,"Over Charged",IF(Table8[[#This Row],[%change]]=0,"Perfectly Charged",IF(Table8[[#This Row],[%change]]&lt;0,"Under Charged")))</f>
        <v>Over Charged</v>
      </c>
    </row>
    <row r="55" spans="1:26" x14ac:dyDescent="0.3">
      <c r="A55">
        <v>2001817093</v>
      </c>
      <c r="B55" t="s">
        <v>32</v>
      </c>
      <c r="C55">
        <v>1</v>
      </c>
      <c r="D55">
        <f>_xlfn.XLOOKUP(Order_Report[[#This Row],[SKU]],SKU_Master[SKU],SKU_Master[Weight (g)],"not found")</f>
        <v>100</v>
      </c>
      <c r="E55">
        <f>Order_Report[[#This Row],[order weight ]]*Order_Report[[#This Row],[Order Qty]]</f>
        <v>100</v>
      </c>
      <c r="N55" s="1">
        <v>2001809383</v>
      </c>
      <c r="O55">
        <f>SUMIFS(Order_Report[_total weight ],Order_Report[ExternOrderNo],$N55)</f>
        <v>607</v>
      </c>
      <c r="P55">
        <f>CEILING(Table8[[#This Row],[Total weight ]],0.5)</f>
        <v>607</v>
      </c>
      <c r="Q55" t="str">
        <f>_xlfn.XLOOKUP(Table8[[#This Row],[Ext Order No]],Invoice[Order ID],Invoice[Zone])</f>
        <v>d</v>
      </c>
      <c r="R55" t="str">
        <f>IF(pincodes[[#Headers],[Matching status]]="matched",'(abc)pincodes'!C54,'(abc)pincodes'!C54)</f>
        <v>d</v>
      </c>
      <c r="S55" t="str">
        <f>_xlfn.XLOOKUP(Table8[[#This Row],[ABC area ]],Invoice[Zone],Invoice[Type of Shipment])</f>
        <v>Forward charges</v>
      </c>
      <c r="T55" t="s">
        <v>119</v>
      </c>
      <c r="V55">
        <f>_xlfn.XLOOKUP(Table8[[#This Row],[Ext Order No]],Invoice[Order ID],Invoice[Billing Amount (Rs.)],"not found")</f>
        <v>86.7</v>
      </c>
      <c r="W55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5">
        <f>_xlfn.XLOOKUP(Table8[[#This Row],[Ext Order No]],Invoice[Order ID],Invoice[AWB Code])</f>
        <v>1091117614452</v>
      </c>
      <c r="Y55" s="4">
        <f>((Table8[[#This Row],[Courirer Price ]]-Table8[[#This Row],[Expected Price]])/Table8[[#This Row],[Expected Price]])*100</f>
        <v>90.969162995594715</v>
      </c>
      <c r="Z55" s="4" t="str">
        <f>IF(Table8[[#This Row],[%change]]&gt;0,"Over Charged",IF(Table8[[#This Row],[%change]]=0,"Perfectly Charged",IF(Table8[[#This Row],[%change]]&lt;0,"Under Charged")))</f>
        <v>Over Charged</v>
      </c>
    </row>
    <row r="56" spans="1:26" x14ac:dyDescent="0.3">
      <c r="A56">
        <v>2001817093</v>
      </c>
      <c r="B56" t="s">
        <v>68</v>
      </c>
      <c r="C56">
        <v>1</v>
      </c>
      <c r="D56">
        <f>_xlfn.XLOOKUP(Order_Report[[#This Row],[SKU]],SKU_Master[SKU],SKU_Master[Weight (g)],"not found")</f>
        <v>210</v>
      </c>
      <c r="E56">
        <f>Order_Report[[#This Row],[order weight ]]*Order_Report[[#This Row],[Order Qty]]</f>
        <v>210</v>
      </c>
      <c r="N56" s="2">
        <v>2001809270</v>
      </c>
      <c r="O56">
        <f>SUMIFS(Order_Report[_total weight ],Order_Report[ExternOrderNo],$N56)</f>
        <v>500</v>
      </c>
      <c r="P56">
        <f>CEILING(Table8[[#This Row],[Total weight ]],0.5)</f>
        <v>500</v>
      </c>
      <c r="Q56" t="str">
        <f>_xlfn.XLOOKUP(Table8[[#This Row],[Ext Order No]],Invoice[Order ID],Invoice[Zone])</f>
        <v>d</v>
      </c>
      <c r="R56" t="str">
        <f>IF(pincodes[[#Headers],[Matching status]]="matched",'(abc)pincodes'!C55,'(abc)pincodes'!C55)</f>
        <v>b</v>
      </c>
      <c r="S56" t="str">
        <f>_xlfn.XLOOKUP(Table8[[#This Row],[ABC area ]],Invoice[Zone],Invoice[Type of Shipment])</f>
        <v>Forward charges</v>
      </c>
      <c r="T56" t="s">
        <v>119</v>
      </c>
      <c r="V56">
        <f>_xlfn.XLOOKUP(Table8[[#This Row],[Ext Order No]],Invoice[Order ID],Invoice[Billing Amount (Rs.)],"not found")</f>
        <v>90.2</v>
      </c>
      <c r="W5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56">
        <f>_xlfn.XLOOKUP(Table8[[#This Row],[Ext Order No]],Invoice[Order ID],Invoice[AWB Code])</f>
        <v>1091117613962</v>
      </c>
      <c r="Y56" s="4">
        <f>((Table8[[#This Row],[Courirer Price ]]-Table8[[#This Row],[Expected Price]])/Table8[[#This Row],[Expected Price]])*100</f>
        <v>173.33333333333334</v>
      </c>
      <c r="Z56" s="4" t="str">
        <f>IF(Table8[[#This Row],[%change]]&gt;0,"Over Charged",IF(Table8[[#This Row],[%change]]=0,"Perfectly Charged",IF(Table8[[#This Row],[%change]]&lt;0,"Under Charged")))</f>
        <v>Over Charged</v>
      </c>
    </row>
    <row r="57" spans="1:26" x14ac:dyDescent="0.3">
      <c r="A57">
        <v>2001817093</v>
      </c>
      <c r="B57" t="s">
        <v>45</v>
      </c>
      <c r="C57">
        <v>1</v>
      </c>
      <c r="D57">
        <f>_xlfn.XLOOKUP(Order_Report[[#This Row],[SKU]],SKU_Master[SKU],SKU_Master[Weight (g)],"not found")</f>
        <v>140</v>
      </c>
      <c r="E57">
        <f>Order_Report[[#This Row],[order weight ]]*Order_Report[[#This Row],[Order Qty]]</f>
        <v>140</v>
      </c>
      <c r="N57" s="1">
        <v>2001808992</v>
      </c>
      <c r="O57">
        <f>SUMIFS(Order_Report[_total weight ],Order_Report[ExternOrderNo],$N57)</f>
        <v>500</v>
      </c>
      <c r="P57">
        <f>CEILING(Table8[[#This Row],[Total weight ]],0.5)</f>
        <v>500</v>
      </c>
      <c r="Q57" t="str">
        <f>_xlfn.XLOOKUP(Table8[[#This Row],[Ext Order No]],Invoice[Order ID],Invoice[Zone])</f>
        <v>d</v>
      </c>
      <c r="R57" t="str">
        <f>IF(pincodes[[#Headers],[Matching status]]="matched",'(abc)pincodes'!C56,'(abc)pincodes'!C56)</f>
        <v>b</v>
      </c>
      <c r="S57" t="str">
        <f>_xlfn.XLOOKUP(Table8[[#This Row],[ABC area ]],Invoice[Zone],Invoice[Type of Shipment])</f>
        <v>Forward charges</v>
      </c>
      <c r="T57" t="s">
        <v>119</v>
      </c>
      <c r="V57">
        <f>_xlfn.XLOOKUP(Table8[[#This Row],[Ext Order No]],Invoice[Order ID],Invoice[Billing Amount (Rs.)],"not found")</f>
        <v>90.2</v>
      </c>
      <c r="W5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57">
        <f>_xlfn.XLOOKUP(Table8[[#This Row],[Ext Order No]],Invoice[Order ID],Invoice[AWB Code])</f>
        <v>1091117611501</v>
      </c>
      <c r="Y57" s="4">
        <f>((Table8[[#This Row],[Courirer Price ]]-Table8[[#This Row],[Expected Price]])/Table8[[#This Row],[Expected Price]])*100</f>
        <v>173.33333333333334</v>
      </c>
      <c r="Z57" s="4" t="str">
        <f>IF(Table8[[#This Row],[%change]]&gt;0,"Over Charged",IF(Table8[[#This Row],[%change]]=0,"Perfectly Charged",IF(Table8[[#This Row],[%change]]&lt;0,"Under Charged")))</f>
        <v>Over Charged</v>
      </c>
    </row>
    <row r="58" spans="1:26" x14ac:dyDescent="0.3">
      <c r="A58">
        <v>2001817093</v>
      </c>
      <c r="B58" t="s">
        <v>54</v>
      </c>
      <c r="C58">
        <v>2</v>
      </c>
      <c r="D58">
        <f>_xlfn.XLOOKUP(Order_Report[[#This Row],[SKU]],SKU_Master[SKU],SKU_Master[Weight (g)],"not found")</f>
        <v>112</v>
      </c>
      <c r="E58">
        <f>Order_Report[[#This Row],[order weight ]]*Order_Report[[#This Row],[Order Qty]]</f>
        <v>224</v>
      </c>
      <c r="N58" s="2">
        <v>2001808883</v>
      </c>
      <c r="O58">
        <f>SUMIFS(Order_Report[_total weight ],Order_Report[ExternOrderNo],$N58)</f>
        <v>500</v>
      </c>
      <c r="P58">
        <f>CEILING(Table8[[#This Row],[Total weight ]],0.5)</f>
        <v>500</v>
      </c>
      <c r="Q58" t="str">
        <f>_xlfn.XLOOKUP(Table8[[#This Row],[Ext Order No]],Invoice[Order ID],Invoice[Zone])</f>
        <v>d</v>
      </c>
      <c r="R58" t="str">
        <f>IF(pincodes[[#Headers],[Matching status]]="matched",'(abc)pincodes'!C57,'(abc)pincodes'!C57)</f>
        <v>d</v>
      </c>
      <c r="S58" t="str">
        <f>_xlfn.XLOOKUP(Table8[[#This Row],[ABC area ]],Invoice[Zone],Invoice[Type of Shipment])</f>
        <v>Forward charges</v>
      </c>
      <c r="T58" t="s">
        <v>119</v>
      </c>
      <c r="V58">
        <f>_xlfn.XLOOKUP(Table8[[#This Row],[Ext Order No]],Invoice[Order ID],Invoice[Billing Amount (Rs.)],"not found")</f>
        <v>90.2</v>
      </c>
      <c r="W58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8">
        <f>_xlfn.XLOOKUP(Table8[[#This Row],[Ext Order No]],Invoice[Order ID],Invoice[AWB Code])</f>
        <v>1091117438074</v>
      </c>
      <c r="Y58" s="4">
        <f>((Table8[[#This Row],[Courirer Price ]]-Table8[[#This Row],[Expected Price]])/Table8[[#This Row],[Expected Price]])*100</f>
        <v>98.678414096916313</v>
      </c>
      <c r="Z58" s="4" t="str">
        <f>IF(Table8[[#This Row],[%change]]&gt;0,"Over Charged",IF(Table8[[#This Row],[%change]]=0,"Perfectly Charged",IF(Table8[[#This Row],[%change]]&lt;0,"Under Charged")))</f>
        <v>Over Charged</v>
      </c>
    </row>
    <row r="59" spans="1:26" x14ac:dyDescent="0.3">
      <c r="A59">
        <v>2001817093</v>
      </c>
      <c r="B59" t="s">
        <v>36</v>
      </c>
      <c r="C59">
        <v>2</v>
      </c>
      <c r="D59">
        <f>_xlfn.XLOOKUP(Order_Report[[#This Row],[SKU]],SKU_Master[SKU],SKU_Master[Weight (g)],"not found")</f>
        <v>112</v>
      </c>
      <c r="E59">
        <f>Order_Report[[#This Row],[order weight ]]*Order_Report[[#This Row],[Order Qty]]</f>
        <v>224</v>
      </c>
      <c r="N59" s="1">
        <v>2001808837</v>
      </c>
      <c r="O59">
        <f>SUMIFS(Order_Report[_total weight ],Order_Report[ExternOrderNo],$N59)</f>
        <v>500</v>
      </c>
      <c r="P59">
        <f>CEILING(Table8[[#This Row],[Total weight ]],0.5)</f>
        <v>500</v>
      </c>
      <c r="Q59" t="str">
        <f>_xlfn.XLOOKUP(Table8[[#This Row],[Ext Order No]],Invoice[Order ID],Invoice[Zone])</f>
        <v>d</v>
      </c>
      <c r="R59" t="str">
        <f>IF(pincodes[[#Headers],[Matching status]]="matched",'(abc)pincodes'!C58,'(abc)pincodes'!C58)</f>
        <v>d</v>
      </c>
      <c r="S59" t="str">
        <f>_xlfn.XLOOKUP(Table8[[#This Row],[ABC area ]],Invoice[Zone],Invoice[Type of Shipment])</f>
        <v>Forward charges</v>
      </c>
      <c r="T59" t="s">
        <v>119</v>
      </c>
      <c r="V59">
        <f>_xlfn.XLOOKUP(Table8[[#This Row],[Ext Order No]],Invoice[Order ID],Invoice[Billing Amount (Rs.)],"not found")</f>
        <v>90.2</v>
      </c>
      <c r="W59">
        <f>IF(AND(Table8[[#This Row],[Shipment short_1]]="fwd",Table8[[#This Row],[ABC area ]]="d"),'Courier Company - Rates'!G$8,IF(AND(Table8[[#This Row],[Shipment short_1]]="fwd",Table8[[#This Row],[ABC area ]]="b"),'Courier Company - Rates'!G$7))</f>
        <v>45.4</v>
      </c>
      <c r="X59">
        <f>_xlfn.XLOOKUP(Table8[[#This Row],[Ext Order No]],Invoice[Order ID],Invoice[AWB Code])</f>
        <v>1091117437890</v>
      </c>
      <c r="Y59" s="4">
        <f>((Table8[[#This Row],[Courirer Price ]]-Table8[[#This Row],[Expected Price]])/Table8[[#This Row],[Expected Price]])*100</f>
        <v>98.678414096916313</v>
      </c>
      <c r="Z59" s="4" t="str">
        <f>IF(Table8[[#This Row],[%change]]&gt;0,"Over Charged",IF(Table8[[#This Row],[%change]]=0,"Perfectly Charged",IF(Table8[[#This Row],[%change]]&lt;0,"Under Charged")))</f>
        <v>Over Charged</v>
      </c>
    </row>
    <row r="60" spans="1:26" x14ac:dyDescent="0.3">
      <c r="A60">
        <v>2001817093</v>
      </c>
      <c r="B60" t="s">
        <v>35</v>
      </c>
      <c r="C60">
        <v>2</v>
      </c>
      <c r="D60">
        <f>_xlfn.XLOOKUP(Order_Report[[#This Row],[SKU]],SKU_Master[SKU],SKU_Master[Weight (g)],"not found")</f>
        <v>112</v>
      </c>
      <c r="E60">
        <f>Order_Report[[#This Row],[order weight ]]*Order_Report[[#This Row],[Order Qty]]</f>
        <v>224</v>
      </c>
      <c r="N60" s="2">
        <v>2001808832</v>
      </c>
      <c r="O60">
        <f>SUMIFS(Order_Report[_total weight ],Order_Report[ExternOrderNo],$N60)</f>
        <v>600</v>
      </c>
      <c r="P60">
        <f>CEILING(Table8[[#This Row],[Total weight ]],0.5)</f>
        <v>600</v>
      </c>
      <c r="Q60" t="str">
        <f>_xlfn.XLOOKUP(Table8[[#This Row],[Ext Order No]],Invoice[Order ID],Invoice[Zone])</f>
        <v>d</v>
      </c>
      <c r="R60" t="str">
        <f>IF(pincodes[[#Headers],[Matching status]]="matched",'(abc)pincodes'!C59,'(abc)pincodes'!C59)</f>
        <v>b</v>
      </c>
      <c r="S60" t="str">
        <f>_xlfn.XLOOKUP(Table8[[#This Row],[ABC area ]],Invoice[Zone],Invoice[Type of Shipment])</f>
        <v>Forward charges</v>
      </c>
      <c r="T60" t="s">
        <v>119</v>
      </c>
      <c r="V60">
        <f>_xlfn.XLOOKUP(Table8[[#This Row],[Ext Order No]],Invoice[Order ID],Invoice[Billing Amount (Rs.)],"not found")</f>
        <v>224.6</v>
      </c>
      <c r="W6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0">
        <f>_xlfn.XLOOKUP(Table8[[#This Row],[Ext Order No]],Invoice[Order ID],Invoice[AWB Code])</f>
        <v>1091117437864</v>
      </c>
      <c r="Y60" s="4">
        <f>((Table8[[#This Row],[Courirer Price ]]-Table8[[#This Row],[Expected Price]])/Table8[[#This Row],[Expected Price]])*100</f>
        <v>580.60606060606062</v>
      </c>
      <c r="Z60" s="4" t="str">
        <f>IF(Table8[[#This Row],[%change]]&gt;0,"Over Charged",IF(Table8[[#This Row],[%change]]=0,"Perfectly Charged",IF(Table8[[#This Row],[%change]]&lt;0,"Under Charged")))</f>
        <v>Over Charged</v>
      </c>
    </row>
    <row r="61" spans="1:26" x14ac:dyDescent="0.3">
      <c r="A61">
        <v>2001817093</v>
      </c>
      <c r="B61" t="s">
        <v>17</v>
      </c>
      <c r="C61">
        <v>1</v>
      </c>
      <c r="D61">
        <f>_xlfn.XLOOKUP(Order_Report[[#This Row],[SKU]],SKU_Master[SKU],SKU_Master[Weight (g)],"not found")</f>
        <v>115</v>
      </c>
      <c r="E61">
        <f>Order_Report[[#This Row],[order weight ]]*Order_Report[[#This Row],[Order Qty]]</f>
        <v>115</v>
      </c>
      <c r="N61" s="1">
        <v>2001808801</v>
      </c>
      <c r="O61">
        <f>SUMIFS(Order_Report[_total weight ],Order_Report[ExternOrderNo],$N61)</f>
        <v>731</v>
      </c>
      <c r="P61">
        <f>CEILING(Table8[[#This Row],[Total weight ]],0.5)</f>
        <v>731</v>
      </c>
      <c r="Q61" t="str">
        <f>_xlfn.XLOOKUP(Table8[[#This Row],[Ext Order No]],Invoice[Order ID],Invoice[Zone])</f>
        <v>d</v>
      </c>
      <c r="R61" t="str">
        <f>IF(pincodes[[#Headers],[Matching status]]="matched",'(abc)pincodes'!C60,'(abc)pincodes'!C60)</f>
        <v>b</v>
      </c>
      <c r="S61" t="str">
        <f>_xlfn.XLOOKUP(Table8[[#This Row],[ABC area ]],Invoice[Zone],Invoice[Type of Shipment])</f>
        <v>Forward charges</v>
      </c>
      <c r="T61" t="s">
        <v>119</v>
      </c>
      <c r="V61">
        <f>_xlfn.XLOOKUP(Table8[[#This Row],[Ext Order No]],Invoice[Order ID],Invoice[Billing Amount (Rs.)],"not found")</f>
        <v>90.2</v>
      </c>
      <c r="W6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1">
        <f>_xlfn.XLOOKUP(Table8[[#This Row],[Ext Order No]],Invoice[Order ID],Invoice[AWB Code])</f>
        <v>1091117437680</v>
      </c>
      <c r="Y61" s="4">
        <f>((Table8[[#This Row],[Courirer Price ]]-Table8[[#This Row],[Expected Price]])/Table8[[#This Row],[Expected Price]])*100</f>
        <v>173.33333333333334</v>
      </c>
      <c r="Z61" s="4" t="str">
        <f>IF(Table8[[#This Row],[%change]]&gt;0,"Over Charged",IF(Table8[[#This Row],[%change]]=0,"Perfectly Charged",IF(Table8[[#This Row],[%change]]&lt;0,"Under Charged")))</f>
        <v>Over Charged</v>
      </c>
    </row>
    <row r="62" spans="1:26" x14ac:dyDescent="0.3">
      <c r="A62">
        <v>2001816996</v>
      </c>
      <c r="B62" t="s">
        <v>25</v>
      </c>
      <c r="C62">
        <v>1</v>
      </c>
      <c r="D62">
        <f>_xlfn.XLOOKUP(Order_Report[[#This Row],[SKU]],SKU_Master[SKU],SKU_Master[Weight (g)],"not found")</f>
        <v>127</v>
      </c>
      <c r="E62">
        <f>Order_Report[[#This Row],[order weight ]]*Order_Report[[#This Row],[Order Qty]]</f>
        <v>127</v>
      </c>
      <c r="N62" s="1">
        <v>2001808739</v>
      </c>
      <c r="O62">
        <f>SUMIFS(Order_Report[_total weight ],Order_Report[ExternOrderNo],$N62)</f>
        <v>220</v>
      </c>
      <c r="P62">
        <f>CEILING(Table8[[#This Row],[Total weight ]],0.5)</f>
        <v>220</v>
      </c>
      <c r="Q62" t="str">
        <f>_xlfn.XLOOKUP(Table8[[#This Row],[Ext Order No]],Invoice[Order ID],Invoice[Zone])</f>
        <v>d</v>
      </c>
      <c r="R62" t="str">
        <f>IF(pincodes[[#Headers],[Matching status]]="matched",'(abc)pincodes'!C61,'(abc)pincodes'!C61)</f>
        <v>b</v>
      </c>
      <c r="S62" t="str">
        <f>_xlfn.XLOOKUP(Table8[[#This Row],[ABC area ]],Invoice[Zone],Invoice[Type of Shipment])</f>
        <v>Forward charges</v>
      </c>
      <c r="T62" t="s">
        <v>119</v>
      </c>
      <c r="V62">
        <f>_xlfn.XLOOKUP(Table8[[#This Row],[Ext Order No]],Invoice[Order ID],Invoice[Billing Amount (Rs.)],"not found")</f>
        <v>179.8</v>
      </c>
      <c r="W62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2">
        <f>_xlfn.XLOOKUP(Table8[[#This Row],[Ext Order No]],Invoice[Order ID],Invoice[AWB Code])</f>
        <v>1091117437293</v>
      </c>
      <c r="Y62" s="4">
        <f>((Table8[[#This Row],[Courirer Price ]]-Table8[[#This Row],[Expected Price]])/Table8[[#This Row],[Expected Price]])*100</f>
        <v>444.84848484848493</v>
      </c>
      <c r="Z62" s="4" t="str">
        <f>IF(Table8[[#This Row],[%change]]&gt;0,"Over Charged",IF(Table8[[#This Row],[%change]]=0,"Perfectly Charged",IF(Table8[[#This Row],[%change]]&lt;0,"Under Charged")))</f>
        <v>Over Charged</v>
      </c>
    </row>
    <row r="63" spans="1:26" x14ac:dyDescent="0.3">
      <c r="A63">
        <v>2001816996</v>
      </c>
      <c r="B63" t="s">
        <v>34</v>
      </c>
      <c r="C63">
        <v>1</v>
      </c>
      <c r="D63">
        <f>_xlfn.XLOOKUP(Order_Report[[#This Row],[SKU]],SKU_Master[SKU],SKU_Master[Weight (g)],"not found")</f>
        <v>133</v>
      </c>
      <c r="E63">
        <f>Order_Report[[#This Row],[order weight ]]*Order_Report[[#This Row],[Order Qty]]</f>
        <v>133</v>
      </c>
      <c r="N63" s="1">
        <v>2001808679</v>
      </c>
      <c r="O63">
        <f>SUMIFS(Order_Report[_total weight ],Order_Report[ExternOrderNo],$N63)</f>
        <v>500</v>
      </c>
      <c r="P63">
        <f>CEILING(Table8[[#This Row],[Total weight ]],0.5)</f>
        <v>500</v>
      </c>
      <c r="Q63" t="str">
        <f>_xlfn.XLOOKUP(Table8[[#This Row],[Ext Order No]],Invoice[Order ID],Invoice[Zone])</f>
        <v>d</v>
      </c>
      <c r="R63" t="str">
        <f>IF(pincodes[[#Headers],[Matching status]]="matched",'(abc)pincodes'!C62,'(abc)pincodes'!C62)</f>
        <v>b</v>
      </c>
      <c r="S63" t="str">
        <f>_xlfn.XLOOKUP(Table8[[#This Row],[ABC area ]],Invoice[Zone],Invoice[Type of Shipment])</f>
        <v>Forward charges</v>
      </c>
      <c r="T63" t="s">
        <v>119</v>
      </c>
      <c r="V63">
        <f>_xlfn.XLOOKUP(Table8[[#This Row],[Ext Order No]],Invoice[Order ID],Invoice[Billing Amount (Rs.)],"not found")</f>
        <v>90.2</v>
      </c>
      <c r="W6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3">
        <f>_xlfn.XLOOKUP(Table8[[#This Row],[Ext Order No]],Invoice[Order ID],Invoice[AWB Code])</f>
        <v>1091117437035</v>
      </c>
      <c r="Y63" s="4">
        <f>((Table8[[#This Row],[Courirer Price ]]-Table8[[#This Row],[Expected Price]])/Table8[[#This Row],[Expected Price]])*100</f>
        <v>173.33333333333334</v>
      </c>
      <c r="Z63" s="4" t="str">
        <f>IF(Table8[[#This Row],[%change]]&gt;0,"Over Charged",IF(Table8[[#This Row],[%change]]=0,"Perfectly Charged",IF(Table8[[#This Row],[%change]]&lt;0,"Under Charged")))</f>
        <v>Over Charged</v>
      </c>
    </row>
    <row r="64" spans="1:26" x14ac:dyDescent="0.3">
      <c r="A64">
        <v>2001816996</v>
      </c>
      <c r="B64" t="s">
        <v>30</v>
      </c>
      <c r="C64">
        <v>1</v>
      </c>
      <c r="D64">
        <f>_xlfn.XLOOKUP(Order_Report[[#This Row],[SKU]],SKU_Master[SKU],SKU_Master[Weight (g)],"not found")</f>
        <v>240</v>
      </c>
      <c r="E64">
        <f>Order_Report[[#This Row],[order weight ]]*Order_Report[[#This Row],[Order Qty]]</f>
        <v>240</v>
      </c>
      <c r="N64" s="2">
        <v>2001808675</v>
      </c>
      <c r="O64">
        <f>SUMIFS(Order_Report[_total weight ],Order_Report[ExternOrderNo],$N64)</f>
        <v>1183</v>
      </c>
      <c r="P64">
        <f>CEILING(Table8[[#This Row],[Total weight ]],0.5)</f>
        <v>1183</v>
      </c>
      <c r="Q64" t="str">
        <f>_xlfn.XLOOKUP(Table8[[#This Row],[Ext Order No]],Invoice[Order ID],Invoice[Zone])</f>
        <v>b</v>
      </c>
      <c r="R64" t="str">
        <f>IF(pincodes[[#Headers],[Matching status]]="matched",'(abc)pincodes'!C63,'(abc)pincodes'!C63)</f>
        <v>b</v>
      </c>
      <c r="S64" t="str">
        <f>_xlfn.XLOOKUP(Table8[[#This Row],[ABC area ]],Invoice[Zone],Invoice[Type of Shipment])</f>
        <v>Forward charges</v>
      </c>
      <c r="T64" t="s">
        <v>119</v>
      </c>
      <c r="V64">
        <f>_xlfn.XLOOKUP(Table8[[#This Row],[Ext Order No]],Invoice[Order ID],Invoice[Billing Amount (Rs.)],"not found")</f>
        <v>89.6</v>
      </c>
      <c r="W64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4">
        <f>_xlfn.XLOOKUP(Table8[[#This Row],[Ext Order No]],Invoice[Order ID],Invoice[AWB Code])</f>
        <v>1091117437050</v>
      </c>
      <c r="Y64" s="4">
        <f>((Table8[[#This Row],[Courirer Price ]]-Table8[[#This Row],[Expected Price]])/Table8[[#This Row],[Expected Price]])*100</f>
        <v>171.5151515151515</v>
      </c>
      <c r="Z64" s="4" t="str">
        <f>IF(Table8[[#This Row],[%change]]&gt;0,"Over Charged",IF(Table8[[#This Row],[%change]]=0,"Perfectly Charged",IF(Table8[[#This Row],[%change]]&lt;0,"Under Charged")))</f>
        <v>Over Charged</v>
      </c>
    </row>
    <row r="65" spans="1:26" x14ac:dyDescent="0.3">
      <c r="A65">
        <v>2001816684</v>
      </c>
      <c r="B65" t="s">
        <v>10</v>
      </c>
      <c r="C65">
        <v>2</v>
      </c>
      <c r="D65">
        <f>_xlfn.XLOOKUP(Order_Report[[#This Row],[SKU]],SKU_Master[SKU],SKU_Master[Weight (g)],"not found")</f>
        <v>120</v>
      </c>
      <c r="E65">
        <f>Order_Report[[#This Row],[order weight ]]*Order_Report[[#This Row],[Order Qty]]</f>
        <v>240</v>
      </c>
      <c r="N65" s="2">
        <v>2001808585</v>
      </c>
      <c r="O65">
        <f>SUMIFS(Order_Report[_total weight ],Order_Report[ExternOrderNo],$N65)</f>
        <v>500</v>
      </c>
      <c r="P65">
        <f>CEILING(Table8[[#This Row],[Total weight ]],0.5)</f>
        <v>500</v>
      </c>
      <c r="Q65" t="str">
        <f>_xlfn.XLOOKUP(Table8[[#This Row],[Ext Order No]],Invoice[Order ID],Invoice[Zone])</f>
        <v>b</v>
      </c>
      <c r="R65" t="str">
        <f>IF(pincodes[[#Headers],[Matching status]]="matched",'(abc)pincodes'!C64,'(abc)pincodes'!C64)</f>
        <v>b</v>
      </c>
      <c r="S65" t="str">
        <f>_xlfn.XLOOKUP(Table8[[#This Row],[ABC area ]],Invoice[Zone],Invoice[Type of Shipment])</f>
        <v>Forward charges</v>
      </c>
      <c r="T65" t="s">
        <v>119</v>
      </c>
      <c r="V65">
        <f>_xlfn.XLOOKUP(Table8[[#This Row],[Ext Order No]],Invoice[Order ID],Invoice[Billing Amount (Rs.)],"not found")</f>
        <v>61.3</v>
      </c>
      <c r="W6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5">
        <f>_xlfn.XLOOKUP(Table8[[#This Row],[Ext Order No]],Invoice[Order ID],Invoice[AWB Code])</f>
        <v>1091117436652</v>
      </c>
      <c r="Y65" s="4">
        <f>((Table8[[#This Row],[Courirer Price ]]-Table8[[#This Row],[Expected Price]])/Table8[[#This Row],[Expected Price]])*100</f>
        <v>85.757575757575751</v>
      </c>
      <c r="Z65" s="4" t="str">
        <f>IF(Table8[[#This Row],[%change]]&gt;0,"Over Charged",IF(Table8[[#This Row],[%change]]=0,"Perfectly Charged",IF(Table8[[#This Row],[%change]]&lt;0,"Under Charged")))</f>
        <v>Over Charged</v>
      </c>
    </row>
    <row r="66" spans="1:26" x14ac:dyDescent="0.3">
      <c r="A66">
        <v>2001816684</v>
      </c>
      <c r="B66" t="s">
        <v>32</v>
      </c>
      <c r="C66">
        <v>2</v>
      </c>
      <c r="D66">
        <f>_xlfn.XLOOKUP(Order_Report[[#This Row],[SKU]],SKU_Master[SKU],SKU_Master[Weight (g)],"not found")</f>
        <v>100</v>
      </c>
      <c r="E66">
        <f>Order_Report[[#This Row],[order weight ]]*Order_Report[[#This Row],[Order Qty]]</f>
        <v>200</v>
      </c>
      <c r="N66" s="1">
        <v>2001808542</v>
      </c>
      <c r="O66">
        <f>SUMIFS(Order_Report[_total weight ],Order_Report[ExternOrderNo],$N66)</f>
        <v>734</v>
      </c>
      <c r="P66">
        <f>CEILING(Table8[[#This Row],[Total weight ]],0.5)</f>
        <v>734</v>
      </c>
      <c r="Q66" t="str">
        <f>_xlfn.XLOOKUP(Table8[[#This Row],[Ext Order No]],Invoice[Order ID],Invoice[Zone])</f>
        <v>d</v>
      </c>
      <c r="R66" t="str">
        <f>IF(pincodes[[#Headers],[Matching status]]="matched",'(abc)pincodes'!C65,'(abc)pincodes'!C65)</f>
        <v>b</v>
      </c>
      <c r="S66" t="str">
        <f>_xlfn.XLOOKUP(Table8[[#This Row],[ABC area ]],Invoice[Zone],Invoice[Type of Shipment])</f>
        <v>Forward charges</v>
      </c>
      <c r="T66" t="s">
        <v>119</v>
      </c>
      <c r="V66">
        <f>_xlfn.XLOOKUP(Table8[[#This Row],[Ext Order No]],Invoice[Order ID],Invoice[Billing Amount (Rs.)],"not found")</f>
        <v>90.2</v>
      </c>
      <c r="W6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6">
        <f>_xlfn.XLOOKUP(Table8[[#This Row],[Ext Order No]],Invoice[Order ID],Invoice[AWB Code])</f>
        <v>1091117436464</v>
      </c>
      <c r="Y66" s="4">
        <f>((Table8[[#This Row],[Courirer Price ]]-Table8[[#This Row],[Expected Price]])/Table8[[#This Row],[Expected Price]])*100</f>
        <v>173.33333333333334</v>
      </c>
      <c r="Z66" s="4" t="str">
        <f>IF(Table8[[#This Row],[%change]]&gt;0,"Over Charged",IF(Table8[[#This Row],[%change]]=0,"Perfectly Charged",IF(Table8[[#This Row],[%change]]&lt;0,"Under Charged")))</f>
        <v>Over Charged</v>
      </c>
    </row>
    <row r="67" spans="1:26" x14ac:dyDescent="0.3">
      <c r="A67">
        <v>2001816684</v>
      </c>
      <c r="B67" t="s">
        <v>31</v>
      </c>
      <c r="C67">
        <v>4</v>
      </c>
      <c r="D67">
        <f>_xlfn.XLOOKUP(Order_Report[[#This Row],[SKU]],SKU_Master[SKU],SKU_Master[Weight (g)],"not found")</f>
        <v>120</v>
      </c>
      <c r="E67">
        <f>Order_Report[[#This Row],[order weight ]]*Order_Report[[#This Row],[Order Qty]]</f>
        <v>480</v>
      </c>
      <c r="N67" s="1">
        <v>2001808507</v>
      </c>
      <c r="O67">
        <f>SUMIFS(Order_Report[_total weight ],Order_Report[ExternOrderNo],$N67)</f>
        <v>607</v>
      </c>
      <c r="P67">
        <f>CEILING(Table8[[#This Row],[Total weight ]],0.5)</f>
        <v>607</v>
      </c>
      <c r="Q67" t="str">
        <f>_xlfn.XLOOKUP(Table8[[#This Row],[Ext Order No]],Invoice[Order ID],Invoice[Zone])</f>
        <v>b</v>
      </c>
      <c r="R67" t="str">
        <f>IF(pincodes[[#Headers],[Matching status]]="matched",'(abc)pincodes'!C66,'(abc)pincodes'!C66)</f>
        <v>b</v>
      </c>
      <c r="S67" t="str">
        <f>_xlfn.XLOOKUP(Table8[[#This Row],[ABC area ]],Invoice[Zone],Invoice[Type of Shipment])</f>
        <v>Forward charges</v>
      </c>
      <c r="T67" t="s">
        <v>119</v>
      </c>
      <c r="V67">
        <f>_xlfn.XLOOKUP(Table8[[#This Row],[Ext Order No]],Invoice[Order ID],Invoice[Billing Amount (Rs.)],"not found")</f>
        <v>61.3</v>
      </c>
      <c r="W6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7">
        <f>_xlfn.XLOOKUP(Table8[[#This Row],[Ext Order No]],Invoice[Order ID],Invoice[AWB Code])</f>
        <v>1091117436383</v>
      </c>
      <c r="Y67" s="4">
        <f>((Table8[[#This Row],[Courirer Price ]]-Table8[[#This Row],[Expected Price]])/Table8[[#This Row],[Expected Price]])*100</f>
        <v>85.757575757575751</v>
      </c>
      <c r="Z67" s="4" t="str">
        <f>IF(Table8[[#This Row],[%change]]&gt;0,"Over Charged",IF(Table8[[#This Row],[%change]]=0,"Perfectly Charged",IF(Table8[[#This Row],[%change]]&lt;0,"Under Charged")))</f>
        <v>Over Charged</v>
      </c>
    </row>
    <row r="68" spans="1:26" x14ac:dyDescent="0.3">
      <c r="A68">
        <v>2001816131</v>
      </c>
      <c r="B68" t="s">
        <v>11</v>
      </c>
      <c r="C68">
        <v>2</v>
      </c>
      <c r="D68">
        <f>_xlfn.XLOOKUP(Order_Report[[#This Row],[SKU]],SKU_Master[SKU],SKU_Master[Weight (g)],"not found")</f>
        <v>102</v>
      </c>
      <c r="E68">
        <f>Order_Report[[#This Row],[order weight ]]*Order_Report[[#This Row],[Order Qty]]</f>
        <v>204</v>
      </c>
      <c r="N68" s="2">
        <v>2001808475</v>
      </c>
      <c r="O68">
        <f>SUMIFS(Order_Report[_total weight ],Order_Report[ExternOrderNo],$N68)</f>
        <v>500</v>
      </c>
      <c r="P68">
        <f>CEILING(Table8[[#This Row],[Total weight ]],0.5)</f>
        <v>500</v>
      </c>
      <c r="Q68" t="str">
        <f>_xlfn.XLOOKUP(Table8[[#This Row],[Ext Order No]],Invoice[Order ID],Invoice[Zone])</f>
        <v>d</v>
      </c>
      <c r="R68" t="str">
        <f>IF(pincodes[[#Headers],[Matching status]]="matched",'(abc)pincodes'!C67,'(abc)pincodes'!C67)</f>
        <v>b</v>
      </c>
      <c r="S68" t="str">
        <f>_xlfn.XLOOKUP(Table8[[#This Row],[ABC area ]],Invoice[Zone],Invoice[Type of Shipment])</f>
        <v>Forward charges</v>
      </c>
      <c r="T68" t="s">
        <v>119</v>
      </c>
      <c r="V68">
        <f>_xlfn.XLOOKUP(Table8[[#This Row],[Ext Order No]],Invoice[Order ID],Invoice[Billing Amount (Rs.)],"not found")</f>
        <v>90.2</v>
      </c>
      <c r="W6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8">
        <f>_xlfn.XLOOKUP(Table8[[#This Row],[Ext Order No]],Invoice[Order ID],Invoice[AWB Code])</f>
        <v>1091117436346</v>
      </c>
      <c r="Y68" s="4">
        <f>((Table8[[#This Row],[Courirer Price ]]-Table8[[#This Row],[Expected Price]])/Table8[[#This Row],[Expected Price]])*100</f>
        <v>173.33333333333334</v>
      </c>
      <c r="Z68" s="4" t="str">
        <f>IF(Table8[[#This Row],[%change]]&gt;0,"Over Charged",IF(Table8[[#This Row],[%change]]=0,"Perfectly Charged",IF(Table8[[#This Row],[%change]]&lt;0,"Under Charged")))</f>
        <v>Over Charged</v>
      </c>
    </row>
    <row r="69" spans="1:26" x14ac:dyDescent="0.3">
      <c r="A69">
        <v>2001816131</v>
      </c>
      <c r="B69" t="s">
        <v>47</v>
      </c>
      <c r="C69">
        <v>1</v>
      </c>
      <c r="D69">
        <f>_xlfn.XLOOKUP(Order_Report[[#This Row],[SKU]],SKU_Master[SKU],SKU_Master[Weight (g)],"not found")</f>
        <v>350</v>
      </c>
      <c r="E69">
        <f>Order_Report[[#This Row],[order weight ]]*Order_Report[[#This Row],[Order Qty]]</f>
        <v>350</v>
      </c>
      <c r="N69" s="1">
        <v>2001808295</v>
      </c>
      <c r="O69">
        <f>SUMIFS(Order_Report[_total weight ],Order_Report[ExternOrderNo],$N69)</f>
        <v>245</v>
      </c>
      <c r="P69">
        <f>CEILING(Table8[[#This Row],[Total weight ]],0.5)</f>
        <v>245</v>
      </c>
      <c r="Q69" t="str">
        <f>_xlfn.XLOOKUP(Table8[[#This Row],[Ext Order No]],Invoice[Order ID],Invoice[Zone])</f>
        <v>e</v>
      </c>
      <c r="R69" t="str">
        <f>IF(pincodes[[#Headers],[Matching status]]="matched",'(abc)pincodes'!C68,'(abc)pincodes'!C68)</f>
        <v>b</v>
      </c>
      <c r="S69" t="str">
        <f>_xlfn.XLOOKUP(Table8[[#This Row],[ABC area ]],Invoice[Zone],Invoice[Type of Shipment])</f>
        <v>Forward charges</v>
      </c>
      <c r="T69" t="s">
        <v>119</v>
      </c>
      <c r="V69">
        <f>_xlfn.XLOOKUP(Table8[[#This Row],[Ext Order No]],Invoice[Order ID],Invoice[Billing Amount (Rs.)],"not found")</f>
        <v>107.3</v>
      </c>
      <c r="W6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69">
        <f>_xlfn.XLOOKUP(Table8[[#This Row],[Ext Order No]],Invoice[Order ID],Invoice[AWB Code])</f>
        <v>1091117435661</v>
      </c>
      <c r="Y69" s="4">
        <f>((Table8[[#This Row],[Courirer Price ]]-Table8[[#This Row],[Expected Price]])/Table8[[#This Row],[Expected Price]])*100</f>
        <v>225.15151515151516</v>
      </c>
      <c r="Z69" s="4" t="str">
        <f>IF(Table8[[#This Row],[%change]]&gt;0,"Over Charged",IF(Table8[[#This Row],[%change]]=0,"Perfectly Charged",IF(Table8[[#This Row],[%change]]&lt;0,"Under Charged")))</f>
        <v>Over Charged</v>
      </c>
    </row>
    <row r="70" spans="1:26" x14ac:dyDescent="0.3">
      <c r="A70">
        <v>2001815688</v>
      </c>
      <c r="B70" t="s">
        <v>10</v>
      </c>
      <c r="C70">
        <v>1</v>
      </c>
      <c r="D70">
        <f>_xlfn.XLOOKUP(Order_Report[[#This Row],[SKU]],SKU_Master[SKU],SKU_Master[Weight (g)],"not found")</f>
        <v>120</v>
      </c>
      <c r="E70">
        <f>Order_Report[[#This Row],[order weight ]]*Order_Report[[#This Row],[Order Qty]]</f>
        <v>120</v>
      </c>
      <c r="N70" s="1">
        <v>2001808286</v>
      </c>
      <c r="O70">
        <f>SUMIFS(Order_Report[_total weight ],Order_Report[ExternOrderNo],$N70)</f>
        <v>601</v>
      </c>
      <c r="P70">
        <f>CEILING(Table8[[#This Row],[Total weight ]],0.5)</f>
        <v>601</v>
      </c>
      <c r="Q70" t="str">
        <f>_xlfn.XLOOKUP(Table8[[#This Row],[Ext Order No]],Invoice[Order ID],Invoice[Zone])</f>
        <v>d</v>
      </c>
      <c r="R70" t="str">
        <f>IF(pincodes[[#Headers],[Matching status]]="matched",'(abc)pincodes'!C69,'(abc)pincodes'!C69)</f>
        <v>b</v>
      </c>
      <c r="S70" t="str">
        <f>_xlfn.XLOOKUP(Table8[[#This Row],[ABC area ]],Invoice[Zone],Invoice[Type of Shipment])</f>
        <v>Forward charges</v>
      </c>
      <c r="T70" t="s">
        <v>119</v>
      </c>
      <c r="V70">
        <f>_xlfn.XLOOKUP(Table8[[#This Row],[Ext Order No]],Invoice[Order ID],Invoice[Billing Amount (Rs.)],"not found")</f>
        <v>90.2</v>
      </c>
      <c r="W7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0">
        <f>_xlfn.XLOOKUP(Table8[[#This Row],[Ext Order No]],Invoice[Order ID],Invoice[AWB Code])</f>
        <v>1091117435602</v>
      </c>
      <c r="Y70" s="4">
        <f>((Table8[[#This Row],[Courirer Price ]]-Table8[[#This Row],[Expected Price]])/Table8[[#This Row],[Expected Price]])*100</f>
        <v>173.33333333333334</v>
      </c>
      <c r="Z70" s="4" t="str">
        <f>IF(Table8[[#This Row],[%change]]&gt;0,"Over Charged",IF(Table8[[#This Row],[%change]]=0,"Perfectly Charged",IF(Table8[[#This Row],[%change]]&lt;0,"Under Charged")))</f>
        <v>Over Charged</v>
      </c>
    </row>
    <row r="71" spans="1:26" x14ac:dyDescent="0.3">
      <c r="A71">
        <v>2001815688</v>
      </c>
      <c r="B71" t="s">
        <v>32</v>
      </c>
      <c r="C71">
        <v>1</v>
      </c>
      <c r="D71">
        <f>_xlfn.XLOOKUP(Order_Report[[#This Row],[SKU]],SKU_Master[SKU],SKU_Master[Weight (g)],"not found")</f>
        <v>100</v>
      </c>
      <c r="E71">
        <f>Order_Report[[#This Row],[order weight ]]*Order_Report[[#This Row],[Order Qty]]</f>
        <v>100</v>
      </c>
      <c r="N71" s="2">
        <v>2001808207</v>
      </c>
      <c r="O71">
        <f>SUMIFS(Order_Report[_total weight ],Order_Report[ExternOrderNo],$N71)</f>
        <v>607</v>
      </c>
      <c r="P71">
        <f>CEILING(Table8[[#This Row],[Total weight ]],0.5)</f>
        <v>607</v>
      </c>
      <c r="Q71" t="str">
        <f>_xlfn.XLOOKUP(Table8[[#This Row],[Ext Order No]],Invoice[Order ID],Invoice[Zone])</f>
        <v>d</v>
      </c>
      <c r="R71" t="str">
        <f>IF(pincodes[[#Headers],[Matching status]]="matched",'(abc)pincodes'!C70,'(abc)pincodes'!C70)</f>
        <v>b</v>
      </c>
      <c r="S71" t="str">
        <f>_xlfn.XLOOKUP(Table8[[#This Row],[ABC area ]],Invoice[Zone],Invoice[Type of Shipment])</f>
        <v>Forward charges</v>
      </c>
      <c r="T71" t="s">
        <v>119</v>
      </c>
      <c r="V71">
        <f>_xlfn.XLOOKUP(Table8[[#This Row],[Ext Order No]],Invoice[Order ID],Invoice[Billing Amount (Rs.)],"not found")</f>
        <v>90.2</v>
      </c>
      <c r="W7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1">
        <f>_xlfn.XLOOKUP(Table8[[#This Row],[Ext Order No]],Invoice[Order ID],Invoice[AWB Code])</f>
        <v>1091117435370</v>
      </c>
      <c r="Y71" s="4">
        <f>((Table8[[#This Row],[Courirer Price ]]-Table8[[#This Row],[Expected Price]])/Table8[[#This Row],[Expected Price]])*100</f>
        <v>173.33333333333334</v>
      </c>
      <c r="Z71" s="4" t="str">
        <f>IF(Table8[[#This Row],[%change]]&gt;0,"Over Charged",IF(Table8[[#This Row],[%change]]=0,"Perfectly Charged",IF(Table8[[#This Row],[%change]]&lt;0,"Under Charged")))</f>
        <v>Over Charged</v>
      </c>
    </row>
    <row r="72" spans="1:26" x14ac:dyDescent="0.3">
      <c r="A72">
        <v>2001814580</v>
      </c>
      <c r="B72" t="s">
        <v>25</v>
      </c>
      <c r="C72">
        <v>1</v>
      </c>
      <c r="D72">
        <f>_xlfn.XLOOKUP(Order_Report[[#This Row],[SKU]],SKU_Master[SKU],SKU_Master[Weight (g)],"not found")</f>
        <v>127</v>
      </c>
      <c r="E72">
        <f>Order_Report[[#This Row],[order weight ]]*Order_Report[[#This Row],[Order Qty]]</f>
        <v>127</v>
      </c>
      <c r="N72" s="1">
        <v>2001808118</v>
      </c>
      <c r="O72">
        <f>SUMIFS(Order_Report[_total weight ],Order_Report[ExternOrderNo],$N72)</f>
        <v>343</v>
      </c>
      <c r="P72">
        <f>CEILING(Table8[[#This Row],[Total weight ]],0.5)</f>
        <v>343</v>
      </c>
      <c r="Q72" t="str">
        <f>_xlfn.XLOOKUP(Table8[[#This Row],[Ext Order No]],Invoice[Order ID],Invoice[Zone])</f>
        <v>b</v>
      </c>
      <c r="R72" t="str">
        <f>IF(pincodes[[#Headers],[Matching status]]="matched",'(abc)pincodes'!C71,'(abc)pincodes'!C71)</f>
        <v>b</v>
      </c>
      <c r="S72" t="str">
        <f>_xlfn.XLOOKUP(Table8[[#This Row],[ABC area ]],Invoice[Zone],Invoice[Type of Shipment])</f>
        <v>Forward charges</v>
      </c>
      <c r="T72" t="s">
        <v>119</v>
      </c>
      <c r="V72">
        <f>_xlfn.XLOOKUP(Table8[[#This Row],[Ext Order No]],Invoice[Order ID],Invoice[Billing Amount (Rs.)],"not found")</f>
        <v>33</v>
      </c>
      <c r="W72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2">
        <f>_xlfn.XLOOKUP(Table8[[#This Row],[Ext Order No]],Invoice[Order ID],Invoice[AWB Code])</f>
        <v>1091117435134</v>
      </c>
      <c r="Y72" s="4">
        <f>((Table8[[#This Row],[Courirer Price ]]-Table8[[#This Row],[Expected Price]])/Table8[[#This Row],[Expected Price]])*100</f>
        <v>0</v>
      </c>
      <c r="Z72" s="4" t="str">
        <f>IF(Table8[[#This Row],[%change]]&gt;0,"Over Charged",IF(Table8[[#This Row],[%change]]=0,"Perfectly Charged",IF(Table8[[#This Row],[%change]]&lt;0,"Under Charged")))</f>
        <v>Perfectly Charged</v>
      </c>
    </row>
    <row r="73" spans="1:26" x14ac:dyDescent="0.3">
      <c r="A73">
        <v>2001813009</v>
      </c>
      <c r="B73" t="s">
        <v>10</v>
      </c>
      <c r="C73">
        <v>1</v>
      </c>
      <c r="D73">
        <f>_xlfn.XLOOKUP(Order_Report[[#This Row],[SKU]],SKU_Master[SKU],SKU_Master[Weight (g)],"not found")</f>
        <v>120</v>
      </c>
      <c r="E73">
        <f>Order_Report[[#This Row],[order weight ]]*Order_Report[[#This Row],[Order Qty]]</f>
        <v>120</v>
      </c>
      <c r="N73" s="2">
        <v>2001808102</v>
      </c>
      <c r="O73">
        <f>SUMIFS(Order_Report[_total weight ],Order_Report[ExternOrderNo],$N73)</f>
        <v>1157</v>
      </c>
      <c r="P73">
        <f>CEILING(Table8[[#This Row],[Total weight ]],0.5)</f>
        <v>1157</v>
      </c>
      <c r="Q73" t="str">
        <f>_xlfn.XLOOKUP(Table8[[#This Row],[Ext Order No]],Invoice[Order ID],Invoice[Zone])</f>
        <v>d</v>
      </c>
      <c r="R73" t="str">
        <f>IF(pincodes[[#Headers],[Matching status]]="matched",'(abc)pincodes'!C72,'(abc)pincodes'!C72)</f>
        <v>b</v>
      </c>
      <c r="S73" t="str">
        <f>_xlfn.XLOOKUP(Table8[[#This Row],[ABC area ]],Invoice[Zone],Invoice[Type of Shipment])</f>
        <v>Forward charges</v>
      </c>
      <c r="T73" t="s">
        <v>119</v>
      </c>
      <c r="V73">
        <f>_xlfn.XLOOKUP(Table8[[#This Row],[Ext Order No]],Invoice[Order ID],Invoice[Billing Amount (Rs.)],"not found")</f>
        <v>135</v>
      </c>
      <c r="W7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3">
        <f>_xlfn.XLOOKUP(Table8[[#This Row],[Ext Order No]],Invoice[Order ID],Invoice[AWB Code])</f>
        <v>1091117435005</v>
      </c>
      <c r="Y73" s="4">
        <f>((Table8[[#This Row],[Courirer Price ]]-Table8[[#This Row],[Expected Price]])/Table8[[#This Row],[Expected Price]])*100</f>
        <v>309.09090909090907</v>
      </c>
      <c r="Z73" s="4" t="str">
        <f>IF(Table8[[#This Row],[%change]]&gt;0,"Over Charged",IF(Table8[[#This Row],[%change]]=0,"Perfectly Charged",IF(Table8[[#This Row],[%change]]&lt;0,"Under Charged")))</f>
        <v>Over Charged</v>
      </c>
    </row>
    <row r="74" spans="1:26" x14ac:dyDescent="0.3">
      <c r="A74">
        <v>2001813009</v>
      </c>
      <c r="B74" t="s">
        <v>32</v>
      </c>
      <c r="C74">
        <v>1</v>
      </c>
      <c r="D74">
        <f>_xlfn.XLOOKUP(Order_Report[[#This Row],[SKU]],SKU_Master[SKU],SKU_Master[Weight (g)],"not found")</f>
        <v>100</v>
      </c>
      <c r="E74">
        <f>Order_Report[[#This Row],[order weight ]]*Order_Report[[#This Row],[Order Qty]]</f>
        <v>100</v>
      </c>
      <c r="N74" s="2">
        <v>2001807981</v>
      </c>
      <c r="O74">
        <f>SUMIFS(Order_Report[_total weight ],Order_Report[ExternOrderNo],$N74)</f>
        <v>500</v>
      </c>
      <c r="P74">
        <f>CEILING(Table8[[#This Row],[Total weight ]],0.5)</f>
        <v>500</v>
      </c>
      <c r="Q74" t="str">
        <f>_xlfn.XLOOKUP(Table8[[#This Row],[Ext Order No]],Invoice[Order ID],Invoice[Zone])</f>
        <v>d</v>
      </c>
      <c r="R74" t="str">
        <f>IF(pincodes[[#Headers],[Matching status]]="matched",'(abc)pincodes'!C73,'(abc)pincodes'!C73)</f>
        <v>b</v>
      </c>
      <c r="S74" t="str">
        <f>_xlfn.XLOOKUP(Table8[[#This Row],[ABC area ]],Invoice[Zone],Invoice[Type of Shipment])</f>
        <v>Forward charges</v>
      </c>
      <c r="T74" t="s">
        <v>119</v>
      </c>
      <c r="V74">
        <f>_xlfn.XLOOKUP(Table8[[#This Row],[Ext Order No]],Invoice[Order ID],Invoice[Billing Amount (Rs.)],"not found")</f>
        <v>45.4</v>
      </c>
      <c r="W74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4">
        <f>_xlfn.XLOOKUP(Table8[[#This Row],[Ext Order No]],Invoice[Order ID],Invoice[AWB Code])</f>
        <v>1091117327570</v>
      </c>
      <c r="Y74" s="4">
        <f>((Table8[[#This Row],[Courirer Price ]]-Table8[[#This Row],[Expected Price]])/Table8[[#This Row],[Expected Price]])*100</f>
        <v>37.575757575757571</v>
      </c>
      <c r="Z74" s="4" t="str">
        <f>IF(Table8[[#This Row],[%change]]&gt;0,"Over Charged",IF(Table8[[#This Row],[%change]]=0,"Perfectly Charged",IF(Table8[[#This Row],[%change]]&lt;0,"Under Charged")))</f>
        <v>Over Charged</v>
      </c>
    </row>
    <row r="75" spans="1:26" x14ac:dyDescent="0.3">
      <c r="A75">
        <v>2001813009</v>
      </c>
      <c r="B75" t="s">
        <v>25</v>
      </c>
      <c r="C75">
        <v>1</v>
      </c>
      <c r="D75">
        <f>_xlfn.XLOOKUP(Order_Report[[#This Row],[SKU]],SKU_Master[SKU],SKU_Master[Weight (g)],"not found")</f>
        <v>127</v>
      </c>
      <c r="E75">
        <f>Order_Report[[#This Row],[order weight ]]*Order_Report[[#This Row],[Order Qty]]</f>
        <v>127</v>
      </c>
      <c r="N75" s="1">
        <v>2001807976</v>
      </c>
      <c r="O75">
        <f>SUMIFS(Order_Report[_total weight ],Order_Report[ExternOrderNo],$N75)</f>
        <v>721</v>
      </c>
      <c r="P75">
        <f>CEILING(Table8[[#This Row],[Total weight ]],0.5)</f>
        <v>721</v>
      </c>
      <c r="Q75" t="str">
        <f>_xlfn.XLOOKUP(Table8[[#This Row],[Ext Order No]],Invoice[Order ID],Invoice[Zone])</f>
        <v>d</v>
      </c>
      <c r="R75" t="str">
        <f>IF(pincodes[[#Headers],[Matching status]]="matched",'(abc)pincodes'!C74,'(abc)pincodes'!C74)</f>
        <v>b</v>
      </c>
      <c r="S75" t="str">
        <f>_xlfn.XLOOKUP(Table8[[#This Row],[ABC area ]],Invoice[Zone],Invoice[Type of Shipment])</f>
        <v>Forward charges</v>
      </c>
      <c r="T75" t="s">
        <v>119</v>
      </c>
      <c r="V75">
        <f>_xlfn.XLOOKUP(Table8[[#This Row],[Ext Order No]],Invoice[Order ID],Invoice[Billing Amount (Rs.)],"not found")</f>
        <v>172.8</v>
      </c>
      <c r="W7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5">
        <f>_xlfn.XLOOKUP(Table8[[#This Row],[Ext Order No]],Invoice[Order ID],Invoice[AWB Code])</f>
        <v>1091117327496</v>
      </c>
      <c r="Y75" s="4">
        <f>((Table8[[#This Row],[Courirer Price ]]-Table8[[#This Row],[Expected Price]])/Table8[[#This Row],[Expected Price]])*100</f>
        <v>423.63636363636363</v>
      </c>
      <c r="Z75" s="4" t="str">
        <f>IF(Table8[[#This Row],[%change]]&gt;0,"Over Charged",IF(Table8[[#This Row],[%change]]=0,"Perfectly Charged",IF(Table8[[#This Row],[%change]]&lt;0,"Under Charged")))</f>
        <v>Over Charged</v>
      </c>
    </row>
    <row r="76" spans="1:26" x14ac:dyDescent="0.3">
      <c r="A76">
        <v>2001813009</v>
      </c>
      <c r="B76" t="s">
        <v>34</v>
      </c>
      <c r="C76">
        <v>1</v>
      </c>
      <c r="D76">
        <f>_xlfn.XLOOKUP(Order_Report[[#This Row],[SKU]],SKU_Master[SKU],SKU_Master[Weight (g)],"not found")</f>
        <v>133</v>
      </c>
      <c r="E76">
        <f>Order_Report[[#This Row],[order weight ]]*Order_Report[[#This Row],[Order Qty]]</f>
        <v>133</v>
      </c>
      <c r="N76" s="1">
        <v>2001807970</v>
      </c>
      <c r="O76">
        <f>SUMIFS(Order_Report[_total weight ],Order_Report[ExternOrderNo],$N76)</f>
        <v>765</v>
      </c>
      <c r="P76">
        <f>CEILING(Table8[[#This Row],[Total weight ]],0.5)</f>
        <v>765</v>
      </c>
      <c r="Q76" t="str">
        <f>_xlfn.XLOOKUP(Table8[[#This Row],[Ext Order No]],Invoice[Order ID],Invoice[Zone])</f>
        <v>d</v>
      </c>
      <c r="R76" t="str">
        <f>IF(pincodes[[#Headers],[Matching status]]="matched",'(abc)pincodes'!C75,'(abc)pincodes'!C75)</f>
        <v>b</v>
      </c>
      <c r="S76" t="str">
        <f>_xlfn.XLOOKUP(Table8[[#This Row],[ABC area ]],Invoice[Zone],Invoice[Type of Shipment])</f>
        <v>Forward charges</v>
      </c>
      <c r="T76" t="s">
        <v>119</v>
      </c>
      <c r="V76">
        <f>_xlfn.XLOOKUP(Table8[[#This Row],[Ext Order No]],Invoice[Order ID],Invoice[Billing Amount (Rs.)],"not found")</f>
        <v>403.8</v>
      </c>
      <c r="W7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6">
        <f>_xlfn.XLOOKUP(Table8[[#This Row],[Ext Order No]],Invoice[Order ID],Invoice[AWB Code])</f>
        <v>1091117327474</v>
      </c>
      <c r="Y76" s="4">
        <f>((Table8[[#This Row],[Courirer Price ]]-Table8[[#This Row],[Expected Price]])/Table8[[#This Row],[Expected Price]])*100</f>
        <v>1123.6363636363637</v>
      </c>
      <c r="Z76" s="4" t="str">
        <f>IF(Table8[[#This Row],[%change]]&gt;0,"Over Charged",IF(Table8[[#This Row],[%change]]=0,"Perfectly Charged",IF(Table8[[#This Row],[%change]]&lt;0,"Under Charged")))</f>
        <v>Over Charged</v>
      </c>
    </row>
    <row r="77" spans="1:26" x14ac:dyDescent="0.3">
      <c r="A77">
        <v>2001813009</v>
      </c>
      <c r="B77" t="s">
        <v>30</v>
      </c>
      <c r="C77">
        <v>1</v>
      </c>
      <c r="D77">
        <f>_xlfn.XLOOKUP(Order_Report[[#This Row],[SKU]],SKU_Master[SKU],SKU_Master[Weight (g)],"not found")</f>
        <v>240</v>
      </c>
      <c r="E77">
        <f>Order_Report[[#This Row],[order weight ]]*Order_Report[[#This Row],[Order Qty]]</f>
        <v>240</v>
      </c>
      <c r="N77" s="1">
        <v>2001807960</v>
      </c>
      <c r="O77">
        <f>SUMIFS(Order_Report[_total weight ],Order_Report[ExternOrderNo],$N77)</f>
        <v>930</v>
      </c>
      <c r="P77">
        <f>CEILING(Table8[[#This Row],[Total weight ]],0.5)</f>
        <v>930</v>
      </c>
      <c r="Q77" t="str">
        <f>_xlfn.XLOOKUP(Table8[[#This Row],[Ext Order No]],Invoice[Order ID],Invoice[Zone])</f>
        <v>d</v>
      </c>
      <c r="R77" t="str">
        <f>IF(pincodes[[#Headers],[Matching status]]="matched",'(abc)pincodes'!C76,'(abc)pincodes'!C76)</f>
        <v>b</v>
      </c>
      <c r="S77" t="str">
        <f>_xlfn.XLOOKUP(Table8[[#This Row],[ABC area ]],Invoice[Zone],Invoice[Type of Shipment])</f>
        <v>Forward charges</v>
      </c>
      <c r="T77" t="s">
        <v>119</v>
      </c>
      <c r="V77">
        <f>_xlfn.XLOOKUP(Table8[[#This Row],[Ext Order No]],Invoice[Order ID],Invoice[Billing Amount (Rs.)],"not found")</f>
        <v>90.2</v>
      </c>
      <c r="W7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7">
        <f>_xlfn.XLOOKUP(Table8[[#This Row],[Ext Order No]],Invoice[Order ID],Invoice[AWB Code])</f>
        <v>1091117327312</v>
      </c>
      <c r="Y77" s="4">
        <f>((Table8[[#This Row],[Courirer Price ]]-Table8[[#This Row],[Expected Price]])/Table8[[#This Row],[Expected Price]])*100</f>
        <v>173.33333333333334</v>
      </c>
      <c r="Z77" s="4" t="str">
        <f>IF(Table8[[#This Row],[%change]]&gt;0,"Over Charged",IF(Table8[[#This Row],[%change]]=0,"Perfectly Charged",IF(Table8[[#This Row],[%change]]&lt;0,"Under Charged")))</f>
        <v>Over Charged</v>
      </c>
    </row>
    <row r="78" spans="1:26" x14ac:dyDescent="0.3">
      <c r="A78">
        <v>2001812941</v>
      </c>
      <c r="B78" t="s">
        <v>25</v>
      </c>
      <c r="C78">
        <v>1</v>
      </c>
      <c r="D78">
        <f>_xlfn.XLOOKUP(Order_Report[[#This Row],[SKU]],SKU_Master[SKU],SKU_Master[Weight (g)],"not found")</f>
        <v>127</v>
      </c>
      <c r="E78">
        <f>Order_Report[[#This Row],[order weight ]]*Order_Report[[#This Row],[Order Qty]]</f>
        <v>127</v>
      </c>
      <c r="N78" s="1">
        <v>2001807956</v>
      </c>
      <c r="O78">
        <f>SUMIFS(Order_Report[_total weight ],Order_Report[ExternOrderNo],$N78)</f>
        <v>1080</v>
      </c>
      <c r="P78">
        <f>CEILING(Table8[[#This Row],[Total weight ]],0.5)</f>
        <v>1080</v>
      </c>
      <c r="Q78" t="str">
        <f>_xlfn.XLOOKUP(Table8[[#This Row],[Ext Order No]],Invoice[Order ID],Invoice[Zone])</f>
        <v>b</v>
      </c>
      <c r="R78" t="str">
        <f>IF(pincodes[[#Headers],[Matching status]]="matched",'(abc)pincodes'!C77,'(abc)pincodes'!C77)</f>
        <v>b</v>
      </c>
      <c r="S78" t="str">
        <f>_xlfn.XLOOKUP(Table8[[#This Row],[ABC area ]],Invoice[Zone],Invoice[Type of Shipment])</f>
        <v>Forward charges</v>
      </c>
      <c r="T78" t="s">
        <v>119</v>
      </c>
      <c r="V78">
        <f>_xlfn.XLOOKUP(Table8[[#This Row],[Ext Order No]],Invoice[Order ID],Invoice[Billing Amount (Rs.)],"not found")</f>
        <v>89.6</v>
      </c>
      <c r="W7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8">
        <f>_xlfn.XLOOKUP(Table8[[#This Row],[Ext Order No]],Invoice[Order ID],Invoice[AWB Code])</f>
        <v>1091117327275</v>
      </c>
      <c r="Y78" s="4">
        <f>((Table8[[#This Row],[Courirer Price ]]-Table8[[#This Row],[Expected Price]])/Table8[[#This Row],[Expected Price]])*100</f>
        <v>171.5151515151515</v>
      </c>
      <c r="Z78" s="4" t="str">
        <f>IF(Table8[[#This Row],[%change]]&gt;0,"Over Charged",IF(Table8[[#This Row],[%change]]=0,"Perfectly Charged",IF(Table8[[#This Row],[%change]]&lt;0,"Under Charged")))</f>
        <v>Over Charged</v>
      </c>
    </row>
    <row r="79" spans="1:26" x14ac:dyDescent="0.3">
      <c r="A79">
        <v>2001812941</v>
      </c>
      <c r="B79" t="s">
        <v>34</v>
      </c>
      <c r="C79">
        <v>1</v>
      </c>
      <c r="D79">
        <f>_xlfn.XLOOKUP(Order_Report[[#This Row],[SKU]],SKU_Master[SKU],SKU_Master[Weight (g)],"not found")</f>
        <v>133</v>
      </c>
      <c r="E79">
        <f>Order_Report[[#This Row],[order weight ]]*Order_Report[[#This Row],[Order Qty]]</f>
        <v>133</v>
      </c>
      <c r="N79" s="1">
        <v>2001807931</v>
      </c>
      <c r="O79">
        <f>SUMIFS(Order_Report[_total weight ],Order_Report[ExternOrderNo],$N79)</f>
        <v>607</v>
      </c>
      <c r="P79">
        <f>CEILING(Table8[[#This Row],[Total weight ]],0.5)</f>
        <v>607</v>
      </c>
      <c r="Q79" t="str">
        <f>_xlfn.XLOOKUP(Table8[[#This Row],[Ext Order No]],Invoice[Order ID],Invoice[Zone])</f>
        <v>d</v>
      </c>
      <c r="R79" t="str">
        <f>IF(pincodes[[#Headers],[Matching status]]="matched",'(abc)pincodes'!C78,'(abc)pincodes'!C78)</f>
        <v>b</v>
      </c>
      <c r="S79" t="str">
        <f>_xlfn.XLOOKUP(Table8[[#This Row],[ABC area ]],Invoice[Zone],Invoice[Type of Shipment])</f>
        <v>Forward charges</v>
      </c>
      <c r="T79" t="s">
        <v>119</v>
      </c>
      <c r="V79">
        <f>_xlfn.XLOOKUP(Table8[[#This Row],[Ext Order No]],Invoice[Order ID],Invoice[Billing Amount (Rs.)],"not found")</f>
        <v>90.2</v>
      </c>
      <c r="W7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79">
        <f>_xlfn.XLOOKUP(Table8[[#This Row],[Ext Order No]],Invoice[Order ID],Invoice[AWB Code])</f>
        <v>1091117327172</v>
      </c>
      <c r="Y79" s="4">
        <f>((Table8[[#This Row],[Courirer Price ]]-Table8[[#This Row],[Expected Price]])/Table8[[#This Row],[Expected Price]])*100</f>
        <v>173.33333333333334</v>
      </c>
      <c r="Z79" s="4" t="str">
        <f>IF(Table8[[#This Row],[%change]]&gt;0,"Over Charged",IF(Table8[[#This Row],[%change]]=0,"Perfectly Charged",IF(Table8[[#This Row],[%change]]&lt;0,"Under Charged")))</f>
        <v>Over Charged</v>
      </c>
    </row>
    <row r="80" spans="1:26" x14ac:dyDescent="0.3">
      <c r="A80">
        <v>2001812941</v>
      </c>
      <c r="B80" t="s">
        <v>30</v>
      </c>
      <c r="C80">
        <v>1</v>
      </c>
      <c r="D80">
        <f>_xlfn.XLOOKUP(Order_Report[[#This Row],[SKU]],SKU_Master[SKU],SKU_Master[Weight (g)],"not found")</f>
        <v>240</v>
      </c>
      <c r="E80">
        <f>Order_Report[[#This Row],[order weight ]]*Order_Report[[#This Row],[Order Qty]]</f>
        <v>240</v>
      </c>
      <c r="N80" s="2">
        <v>2001807930</v>
      </c>
      <c r="O80">
        <f>SUMIFS(Order_Report[_total weight ],Order_Report[ExternOrderNo],$N80)</f>
        <v>240</v>
      </c>
      <c r="P80">
        <f>CEILING(Table8[[#This Row],[Total weight ]],0.5)</f>
        <v>240</v>
      </c>
      <c r="Q80" t="str">
        <f>_xlfn.XLOOKUP(Table8[[#This Row],[Ext Order No]],Invoice[Order ID],Invoice[Zone])</f>
        <v>d</v>
      </c>
      <c r="R80" t="str">
        <f>IF(pincodes[[#Headers],[Matching status]]="matched",'(abc)pincodes'!C79,'(abc)pincodes'!C79)</f>
        <v>b</v>
      </c>
      <c r="S80" t="str">
        <f>_xlfn.XLOOKUP(Table8[[#This Row],[ABC area ]],Invoice[Zone],Invoice[Type of Shipment])</f>
        <v>Forward charges</v>
      </c>
      <c r="T80" t="s">
        <v>119</v>
      </c>
      <c r="V80">
        <f>_xlfn.XLOOKUP(Table8[[#This Row],[Ext Order No]],Invoice[Order ID],Invoice[Billing Amount (Rs.)],"not found")</f>
        <v>45.4</v>
      </c>
      <c r="W8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0">
        <f>_xlfn.XLOOKUP(Table8[[#This Row],[Ext Order No]],Invoice[Order ID],Invoice[AWB Code])</f>
        <v>1091117327695</v>
      </c>
      <c r="Y80" s="4">
        <f>((Table8[[#This Row],[Courirer Price ]]-Table8[[#This Row],[Expected Price]])/Table8[[#This Row],[Expected Price]])*100</f>
        <v>37.575757575757571</v>
      </c>
      <c r="Z80" s="4" t="str">
        <f>IF(Table8[[#This Row],[%change]]&gt;0,"Over Charged",IF(Table8[[#This Row],[%change]]=0,"Perfectly Charged",IF(Table8[[#This Row],[%change]]&lt;0,"Under Charged")))</f>
        <v>Over Charged</v>
      </c>
    </row>
    <row r="81" spans="1:26" x14ac:dyDescent="0.3">
      <c r="A81">
        <v>2001812854</v>
      </c>
      <c r="B81" t="s">
        <v>16</v>
      </c>
      <c r="C81">
        <v>1</v>
      </c>
      <c r="D81">
        <f>_xlfn.XLOOKUP(Order_Report[[#This Row],[SKU]],SKU_Master[SKU],SKU_Master[Weight (g)],"not found")</f>
        <v>350</v>
      </c>
      <c r="E81">
        <f>Order_Report[[#This Row],[order weight ]]*Order_Report[[#This Row],[Order Qty]]</f>
        <v>350</v>
      </c>
      <c r="N81" s="1">
        <v>2001807852</v>
      </c>
      <c r="O81">
        <f>SUMIFS(Order_Report[_total weight ],Order_Report[ExternOrderNo],$N81)</f>
        <v>500</v>
      </c>
      <c r="P81">
        <f>CEILING(Table8[[#This Row],[Total weight ]],0.5)</f>
        <v>500</v>
      </c>
      <c r="Q81" t="str">
        <f>_xlfn.XLOOKUP(Table8[[#This Row],[Ext Order No]],Invoice[Order ID],Invoice[Zone])</f>
        <v>d</v>
      </c>
      <c r="R81" t="str">
        <f>IF(pincodes[[#Headers],[Matching status]]="matched",'(abc)pincodes'!C80,'(abc)pincodes'!C80)</f>
        <v>b</v>
      </c>
      <c r="S81" t="str">
        <f>_xlfn.XLOOKUP(Table8[[#This Row],[ABC area ]],Invoice[Zone],Invoice[Type of Shipment])</f>
        <v>Forward charges</v>
      </c>
      <c r="T81" t="s">
        <v>119</v>
      </c>
      <c r="V81">
        <f>_xlfn.XLOOKUP(Table8[[#This Row],[Ext Order No]],Invoice[Order ID],Invoice[Billing Amount (Rs.)],"not found")</f>
        <v>90.2</v>
      </c>
      <c r="W8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1">
        <f>_xlfn.XLOOKUP(Table8[[#This Row],[Ext Order No]],Invoice[Order ID],Invoice[AWB Code])</f>
        <v>1091117326925</v>
      </c>
      <c r="Y81" s="4">
        <f>((Table8[[#This Row],[Courirer Price ]]-Table8[[#This Row],[Expected Price]])/Table8[[#This Row],[Expected Price]])*100</f>
        <v>173.33333333333334</v>
      </c>
      <c r="Z81" s="4" t="str">
        <f>IF(Table8[[#This Row],[%change]]&gt;0,"Over Charged",IF(Table8[[#This Row],[%change]]=0,"Perfectly Charged",IF(Table8[[#This Row],[%change]]&lt;0,"Under Charged")))</f>
        <v>Over Charged</v>
      </c>
    </row>
    <row r="82" spans="1:26" x14ac:dyDescent="0.3">
      <c r="A82">
        <v>2001812854</v>
      </c>
      <c r="B82" t="s">
        <v>44</v>
      </c>
      <c r="C82">
        <v>1</v>
      </c>
      <c r="D82">
        <f>_xlfn.XLOOKUP(Order_Report[[#This Row],[SKU]],SKU_Master[SKU],SKU_Master[Weight (g)],"not found")</f>
        <v>350</v>
      </c>
      <c r="E82">
        <f>Order_Report[[#This Row],[order weight ]]*Order_Report[[#This Row],[Order Qty]]</f>
        <v>350</v>
      </c>
      <c r="N82" s="2">
        <v>2001807814</v>
      </c>
      <c r="O82">
        <f>SUMIFS(Order_Report[_total weight ],Order_Report[ExternOrderNo],$N82)</f>
        <v>607</v>
      </c>
      <c r="P82">
        <f>CEILING(Table8[[#This Row],[Total weight ]],0.5)</f>
        <v>607</v>
      </c>
      <c r="Q82" t="str">
        <f>_xlfn.XLOOKUP(Table8[[#This Row],[Ext Order No]],Invoice[Order ID],Invoice[Zone])</f>
        <v>b</v>
      </c>
      <c r="R82" t="str">
        <f>IF(pincodes[[#Headers],[Matching status]]="matched",'(abc)pincodes'!C81,'(abc)pincodes'!C81)</f>
        <v>b</v>
      </c>
      <c r="S82" t="str">
        <f>_xlfn.XLOOKUP(Table8[[#This Row],[ABC area ]],Invoice[Zone],Invoice[Type of Shipment])</f>
        <v>Forward charges</v>
      </c>
      <c r="T82" t="s">
        <v>119</v>
      </c>
      <c r="V82">
        <f>_xlfn.XLOOKUP(Table8[[#This Row],[Ext Order No]],Invoice[Order ID],Invoice[Billing Amount (Rs.)],"not found")</f>
        <v>61.3</v>
      </c>
      <c r="W82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2">
        <f>_xlfn.XLOOKUP(Table8[[#This Row],[Ext Order No]],Invoice[Order ID],Invoice[AWB Code])</f>
        <v>1091117326612</v>
      </c>
      <c r="Y82" s="4">
        <f>((Table8[[#This Row],[Courirer Price ]]-Table8[[#This Row],[Expected Price]])/Table8[[#This Row],[Expected Price]])*100</f>
        <v>85.757575757575751</v>
      </c>
      <c r="Z82" s="4" t="str">
        <f>IF(Table8[[#This Row],[%change]]&gt;0,"Over Charged",IF(Table8[[#This Row],[%change]]=0,"Perfectly Charged",IF(Table8[[#This Row],[%change]]&lt;0,"Under Charged")))</f>
        <v>Over Charged</v>
      </c>
    </row>
    <row r="83" spans="1:26" x14ac:dyDescent="0.3">
      <c r="A83">
        <v>2001812854</v>
      </c>
      <c r="B83" t="s">
        <v>47</v>
      </c>
      <c r="C83">
        <v>1</v>
      </c>
      <c r="D83">
        <f>_xlfn.XLOOKUP(Order_Report[[#This Row],[SKU]],SKU_Master[SKU],SKU_Master[Weight (g)],"not found")</f>
        <v>350</v>
      </c>
      <c r="E83">
        <f>Order_Report[[#This Row],[order weight ]]*Order_Report[[#This Row],[Order Qty]]</f>
        <v>350</v>
      </c>
      <c r="N83" s="1">
        <v>2001807785</v>
      </c>
      <c r="O83">
        <f>SUMIFS(Order_Report[_total weight ],Order_Report[ExternOrderNo],$N83)</f>
        <v>500</v>
      </c>
      <c r="P83">
        <f>CEILING(Table8[[#This Row],[Total weight ]],0.5)</f>
        <v>500</v>
      </c>
      <c r="Q83" t="str">
        <f>_xlfn.XLOOKUP(Table8[[#This Row],[Ext Order No]],Invoice[Order ID],Invoice[Zone])</f>
        <v>d</v>
      </c>
      <c r="R83" t="str">
        <f>IF(pincodes[[#Headers],[Matching status]]="matched",'(abc)pincodes'!C82,'(abc)pincodes'!C82)</f>
        <v>e</v>
      </c>
      <c r="S83" t="str">
        <f>_xlfn.XLOOKUP(Table8[[#This Row],[ABC area ]],Invoice[Zone],Invoice[Type of Shipment])</f>
        <v>Forward and RTO charges</v>
      </c>
      <c r="T83" t="s">
        <v>119</v>
      </c>
      <c r="U83" t="s">
        <v>120</v>
      </c>
      <c r="V83">
        <f>_xlfn.XLOOKUP(Table8[[#This Row],[Ext Order No]],Invoice[Order ID],Invoice[Billing Amount (Rs.)],"not found")</f>
        <v>90.2</v>
      </c>
      <c r="W83">
        <v>107.3</v>
      </c>
      <c r="X83">
        <f>_xlfn.XLOOKUP(Table8[[#This Row],[Ext Order No]],Invoice[Order ID],Invoice[AWB Code])</f>
        <v>1091117326424</v>
      </c>
      <c r="Y83" s="4">
        <f>((Table8[[#This Row],[Courirer Price ]]-Table8[[#This Row],[Expected Price]])/Table8[[#This Row],[Expected Price]])*100</f>
        <v>-15.936626281453863</v>
      </c>
      <c r="Z83" s="4" t="str">
        <f>IF(Table8[[#This Row],[%change]]&gt;0,"Over Charged",IF(Table8[[#This Row],[%change]]=0,"Perfectly Charged",IF(Table8[[#This Row],[%change]]&lt;0,"Under Charged")))</f>
        <v>Under Charged</v>
      </c>
    </row>
    <row r="84" spans="1:26" x14ac:dyDescent="0.3">
      <c r="A84">
        <v>2001812854</v>
      </c>
      <c r="B84" t="s">
        <v>48</v>
      </c>
      <c r="C84">
        <v>1</v>
      </c>
      <c r="D84">
        <f>_xlfn.XLOOKUP(Order_Report[[#This Row],[SKU]],SKU_Master[SKU],SKU_Master[Weight (g)],"not found")</f>
        <v>350</v>
      </c>
      <c r="E84">
        <f>Order_Report[[#This Row],[order weight ]]*Order_Report[[#This Row],[Order Qty]]</f>
        <v>350</v>
      </c>
      <c r="N84" s="2">
        <v>2001807613</v>
      </c>
      <c r="O84">
        <f>SUMIFS(Order_Report[_total weight ],Order_Report[ExternOrderNo],$N84)</f>
        <v>830</v>
      </c>
      <c r="P84">
        <f>CEILING(Table8[[#This Row],[Total weight ]],0.5)</f>
        <v>830</v>
      </c>
      <c r="Q84" t="str">
        <f>_xlfn.XLOOKUP(Table8[[#This Row],[Ext Order No]],Invoice[Order ID],Invoice[Zone])</f>
        <v>d</v>
      </c>
      <c r="R84" t="str">
        <f>IF(pincodes[[#Headers],[Matching status]]="matched",'(abc)pincodes'!C83,'(abc)pincodes'!C83)</f>
        <v>e</v>
      </c>
      <c r="S84" t="str">
        <f>_xlfn.XLOOKUP(Table8[[#This Row],[ABC area ]],Invoice[Zone],Invoice[Type of Shipment])</f>
        <v>Forward and RTO charges</v>
      </c>
      <c r="T84" t="s">
        <v>119</v>
      </c>
      <c r="U84" t="s">
        <v>120</v>
      </c>
      <c r="V84">
        <f>_xlfn.XLOOKUP(Table8[[#This Row],[Ext Order No]],Invoice[Order ID],Invoice[Billing Amount (Rs.)],"not found")</f>
        <v>135</v>
      </c>
      <c r="W84">
        <v>107.3</v>
      </c>
      <c r="X84">
        <f>_xlfn.XLOOKUP(Table8[[#This Row],[Ext Order No]],Invoice[Order ID],Invoice[AWB Code])</f>
        <v>1091117333251</v>
      </c>
      <c r="Y84" s="4">
        <f>((Table8[[#This Row],[Courirer Price ]]-Table8[[#This Row],[Expected Price]])/Table8[[#This Row],[Expected Price]])*100</f>
        <v>25.815470643056855</v>
      </c>
      <c r="Z84" s="4" t="str">
        <f>IF(Table8[[#This Row],[%change]]&gt;0,"Over Charged",IF(Table8[[#This Row],[%change]]=0,"Perfectly Charged",IF(Table8[[#This Row],[%change]]&lt;0,"Under Charged")))</f>
        <v>Over Charged</v>
      </c>
    </row>
    <row r="85" spans="1:26" x14ac:dyDescent="0.3">
      <c r="A85">
        <v>2001812854</v>
      </c>
      <c r="B85" t="s">
        <v>60</v>
      </c>
      <c r="C85">
        <v>1</v>
      </c>
      <c r="D85">
        <f>_xlfn.XLOOKUP(Order_Report[[#This Row],[SKU]],SKU_Master[SKU],SKU_Master[Weight (g)],"not found")</f>
        <v>500</v>
      </c>
      <c r="E85">
        <f>Order_Report[[#This Row],[order weight ]]*Order_Report[[#This Row],[Order Qty]]</f>
        <v>500</v>
      </c>
      <c r="N85" s="1">
        <v>2001807415</v>
      </c>
      <c r="O85">
        <f>SUMIFS(Order_Report[_total weight ],Order_Report[ExternOrderNo],$N85)</f>
        <v>1048</v>
      </c>
      <c r="P85">
        <f>CEILING(Table8[[#This Row],[Total weight ]],0.5)</f>
        <v>1048</v>
      </c>
      <c r="Q85" t="str">
        <f>_xlfn.XLOOKUP(Table8[[#This Row],[Ext Order No]],Invoice[Order ID],Invoice[Zone])</f>
        <v>b</v>
      </c>
      <c r="R85" t="str">
        <f>IF(pincodes[[#Headers],[Matching status]]="matched",'(abc)pincodes'!C84,'(abc)pincodes'!C84)</f>
        <v>e</v>
      </c>
      <c r="S85" t="str">
        <f>_xlfn.XLOOKUP(Table8[[#This Row],[ABC area ]],Invoice[Zone],Invoice[Type of Shipment])</f>
        <v>Forward and RTO charges</v>
      </c>
      <c r="T85" t="s">
        <v>119</v>
      </c>
      <c r="U85" t="s">
        <v>120</v>
      </c>
      <c r="V85">
        <f>_xlfn.XLOOKUP(Table8[[#This Row],[Ext Order No]],Invoice[Order ID],Invoice[Billing Amount (Rs.)],"not found")</f>
        <v>61.3</v>
      </c>
      <c r="W85">
        <v>107.3</v>
      </c>
      <c r="X85">
        <f>_xlfn.XLOOKUP(Table8[[#This Row],[Ext Order No]],Invoice[Order ID],Invoice[AWB Code])</f>
        <v>1091117325094</v>
      </c>
      <c r="Y85" s="4">
        <f>((Table8[[#This Row],[Courirer Price ]]-Table8[[#This Row],[Expected Price]])/Table8[[#This Row],[Expected Price]])*100</f>
        <v>-42.870456663560113</v>
      </c>
      <c r="Z85" s="4" t="str">
        <f>IF(Table8[[#This Row],[%change]]&gt;0,"Over Charged",IF(Table8[[#This Row],[%change]]=0,"Perfectly Charged",IF(Table8[[#This Row],[%change]]&lt;0,"Under Charged")))</f>
        <v>Under Charged</v>
      </c>
    </row>
    <row r="86" spans="1:26" x14ac:dyDescent="0.3">
      <c r="A86">
        <v>2001812854</v>
      </c>
      <c r="B86" t="s">
        <v>54</v>
      </c>
      <c r="C86">
        <v>2</v>
      </c>
      <c r="D86">
        <f>_xlfn.XLOOKUP(Order_Report[[#This Row],[SKU]],SKU_Master[SKU],SKU_Master[Weight (g)],"not found")</f>
        <v>112</v>
      </c>
      <c r="E86">
        <f>Order_Report[[#This Row],[order weight ]]*Order_Report[[#This Row],[Order Qty]]</f>
        <v>224</v>
      </c>
      <c r="N86" s="2">
        <v>2001807362</v>
      </c>
      <c r="O86">
        <f>SUMIFS(Order_Report[_total weight ],Order_Report[ExternOrderNo],$N86)</f>
        <v>2016</v>
      </c>
      <c r="P86">
        <f>CEILING(Table8[[#This Row],[Total weight ]],0.5)</f>
        <v>2016</v>
      </c>
      <c r="Q86" t="str">
        <f>_xlfn.XLOOKUP(Table8[[#This Row],[Ext Order No]],Invoice[Order ID],Invoice[Zone])</f>
        <v>d</v>
      </c>
      <c r="R86" t="str">
        <f>IF(pincodes[[#Headers],[Matching status]]="matched",'(abc)pincodes'!C85,'(abc)pincodes'!C85)</f>
        <v>b</v>
      </c>
      <c r="S86" t="str">
        <f>_xlfn.XLOOKUP(Table8[[#This Row],[ABC area ]],Invoice[Zone],Invoice[Type of Shipment])</f>
        <v>Forward charges</v>
      </c>
      <c r="T86" t="s">
        <v>119</v>
      </c>
      <c r="V86">
        <f>_xlfn.XLOOKUP(Table8[[#This Row],[Ext Order No]],Invoice[Order ID],Invoice[Billing Amount (Rs.)],"not found")</f>
        <v>179.8</v>
      </c>
      <c r="W8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6">
        <f>_xlfn.XLOOKUP(Table8[[#This Row],[Ext Order No]],Invoice[Order ID],Invoice[AWB Code])</f>
        <v>1091117324394</v>
      </c>
      <c r="Y86" s="4">
        <f>((Table8[[#This Row],[Courirer Price ]]-Table8[[#This Row],[Expected Price]])/Table8[[#This Row],[Expected Price]])*100</f>
        <v>444.84848484848493</v>
      </c>
      <c r="Z86" s="4" t="str">
        <f>IF(Table8[[#This Row],[%change]]&gt;0,"Over Charged",IF(Table8[[#This Row],[%change]]=0,"Perfectly Charged",IF(Table8[[#This Row],[%change]]&lt;0,"Under Charged")))</f>
        <v>Over Charged</v>
      </c>
    </row>
    <row r="87" spans="1:26" x14ac:dyDescent="0.3">
      <c r="A87">
        <v>2001812854</v>
      </c>
      <c r="B87" t="s">
        <v>36</v>
      </c>
      <c r="C87">
        <v>2</v>
      </c>
      <c r="D87">
        <f>_xlfn.XLOOKUP(Order_Report[[#This Row],[SKU]],SKU_Master[SKU],SKU_Master[Weight (g)],"not found")</f>
        <v>112</v>
      </c>
      <c r="E87">
        <f>Order_Report[[#This Row],[order weight ]]*Order_Report[[#This Row],[Order Qty]]</f>
        <v>224</v>
      </c>
      <c r="N87" s="1">
        <v>2001807329</v>
      </c>
      <c r="O87">
        <f>SUMIFS(Order_Report[_total weight ],Order_Report[ExternOrderNo],$N87)</f>
        <v>500</v>
      </c>
      <c r="P87">
        <f>CEILING(Table8[[#This Row],[Total weight ]],0.5)</f>
        <v>500</v>
      </c>
      <c r="Q87" t="str">
        <f>_xlfn.XLOOKUP(Table8[[#This Row],[Ext Order No]],Invoice[Order ID],Invoice[Zone])</f>
        <v>d</v>
      </c>
      <c r="R87" t="str">
        <f>IF(pincodes[[#Headers],[Matching status]]="matched",'(abc)pincodes'!C86,'(abc)pincodes'!C86)</f>
        <v>b</v>
      </c>
      <c r="S87" t="str">
        <f>_xlfn.XLOOKUP(Table8[[#This Row],[ABC area ]],Invoice[Zone],Invoice[Type of Shipment])</f>
        <v>Forward charges</v>
      </c>
      <c r="T87" t="s">
        <v>119</v>
      </c>
      <c r="V87">
        <f>_xlfn.XLOOKUP(Table8[[#This Row],[Ext Order No]],Invoice[Order ID],Invoice[Billing Amount (Rs.)],"not found")</f>
        <v>90.2</v>
      </c>
      <c r="W8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7">
        <f>_xlfn.XLOOKUP(Table8[[#This Row],[Ext Order No]],Invoice[Order ID],Invoice[AWB Code])</f>
        <v>1091117333100</v>
      </c>
      <c r="Y87" s="4">
        <f>((Table8[[#This Row],[Courirer Price ]]-Table8[[#This Row],[Expected Price]])/Table8[[#This Row],[Expected Price]])*100</f>
        <v>173.33333333333334</v>
      </c>
      <c r="Z87" s="4" t="str">
        <f>IF(Table8[[#This Row],[%change]]&gt;0,"Over Charged",IF(Table8[[#This Row],[%change]]=0,"Perfectly Charged",IF(Table8[[#This Row],[%change]]&lt;0,"Under Charged")))</f>
        <v>Over Charged</v>
      </c>
    </row>
    <row r="88" spans="1:26" x14ac:dyDescent="0.3">
      <c r="A88">
        <v>2001812854</v>
      </c>
      <c r="B88" t="s">
        <v>35</v>
      </c>
      <c r="C88">
        <v>2</v>
      </c>
      <c r="D88">
        <f>_xlfn.XLOOKUP(Order_Report[[#This Row],[SKU]],SKU_Master[SKU],SKU_Master[Weight (g)],"not found")</f>
        <v>112</v>
      </c>
      <c r="E88">
        <f>Order_Report[[#This Row],[order weight ]]*Order_Report[[#This Row],[Order Qty]]</f>
        <v>224</v>
      </c>
      <c r="N88" s="2">
        <v>2001807328</v>
      </c>
      <c r="O88">
        <f>SUMIFS(Order_Report[_total weight ],Order_Report[ExternOrderNo],$N88)</f>
        <v>490</v>
      </c>
      <c r="P88">
        <f>CEILING(Table8[[#This Row],[Total weight ]],0.5)</f>
        <v>490</v>
      </c>
      <c r="Q88" t="str">
        <f>_xlfn.XLOOKUP(Table8[[#This Row],[Ext Order No]],Invoice[Order ID],Invoice[Zone])</f>
        <v>d</v>
      </c>
      <c r="R88" t="str">
        <f>IF(pincodes[[#Headers],[Matching status]]="matched",'(abc)pincodes'!C87,'(abc)pincodes'!C87)</f>
        <v>b</v>
      </c>
      <c r="S88" t="str">
        <f>_xlfn.XLOOKUP(Table8[[#This Row],[ABC area ]],Invoice[Zone],Invoice[Type of Shipment])</f>
        <v>Forward charges</v>
      </c>
      <c r="T88" t="s">
        <v>119</v>
      </c>
      <c r="V88">
        <f>_xlfn.XLOOKUP(Table8[[#This Row],[Ext Order No]],Invoice[Order ID],Invoice[Billing Amount (Rs.)],"not found")</f>
        <v>224.6</v>
      </c>
      <c r="W8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8">
        <f>_xlfn.XLOOKUP(Table8[[#This Row],[Ext Order No]],Invoice[Order ID],Invoice[AWB Code])</f>
        <v>1091117324346</v>
      </c>
      <c r="Y88" s="4">
        <f>((Table8[[#This Row],[Courirer Price ]]-Table8[[#This Row],[Expected Price]])/Table8[[#This Row],[Expected Price]])*100</f>
        <v>580.60606060606062</v>
      </c>
      <c r="Z88" s="4" t="str">
        <f>IF(Table8[[#This Row],[%change]]&gt;0,"Over Charged",IF(Table8[[#This Row],[%change]]=0,"Perfectly Charged",IF(Table8[[#This Row],[%change]]&lt;0,"Under Charged")))</f>
        <v>Over Charged</v>
      </c>
    </row>
    <row r="89" spans="1:26" x14ac:dyDescent="0.3">
      <c r="A89">
        <v>2001812838</v>
      </c>
      <c r="B89" t="s">
        <v>37</v>
      </c>
      <c r="C89">
        <v>1</v>
      </c>
      <c r="D89">
        <f>_xlfn.XLOOKUP(Order_Report[[#This Row],[SKU]],SKU_Master[SKU],SKU_Master[Weight (g)],"not found")</f>
        <v>110</v>
      </c>
      <c r="E89">
        <f>Order_Report[[#This Row],[order weight ]]*Order_Report[[#This Row],[Order Qty]]</f>
        <v>110</v>
      </c>
      <c r="N89" s="1">
        <v>2001807290</v>
      </c>
      <c r="O89">
        <f>SUMIFS(Order_Report[_total weight ],Order_Report[ExternOrderNo],$N89)</f>
        <v>500</v>
      </c>
      <c r="P89">
        <f>CEILING(Table8[[#This Row],[Total weight ]],0.5)</f>
        <v>500</v>
      </c>
      <c r="Q89" t="str">
        <f>_xlfn.XLOOKUP(Table8[[#This Row],[Ext Order No]],Invoice[Order ID],Invoice[Zone])</f>
        <v>d</v>
      </c>
      <c r="R89" t="str">
        <f>IF(pincodes[[#Headers],[Matching status]]="matched",'(abc)pincodes'!C88,'(abc)pincodes'!C88)</f>
        <v>b</v>
      </c>
      <c r="S89" t="str">
        <f>_xlfn.XLOOKUP(Table8[[#This Row],[ABC area ]],Invoice[Zone],Invoice[Type of Shipment])</f>
        <v>Forward charges</v>
      </c>
      <c r="T89" t="s">
        <v>119</v>
      </c>
      <c r="V89">
        <f>_xlfn.XLOOKUP(Table8[[#This Row],[Ext Order No]],Invoice[Order ID],Invoice[Billing Amount (Rs.)],"not found")</f>
        <v>45.4</v>
      </c>
      <c r="W8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89">
        <f>_xlfn.XLOOKUP(Table8[[#This Row],[Ext Order No]],Invoice[Order ID],Invoice[AWB Code])</f>
        <v>1091117324206</v>
      </c>
      <c r="Y89" s="4">
        <f>((Table8[[#This Row],[Courirer Price ]]-Table8[[#This Row],[Expected Price]])/Table8[[#This Row],[Expected Price]])*100</f>
        <v>37.575757575757571</v>
      </c>
      <c r="Z89" s="4" t="str">
        <f>IF(Table8[[#This Row],[%change]]&gt;0,"Over Charged",IF(Table8[[#This Row],[%change]]=0,"Perfectly Charged",IF(Table8[[#This Row],[%change]]&lt;0,"Under Charged")))</f>
        <v>Over Charged</v>
      </c>
    </row>
    <row r="90" spans="1:26" x14ac:dyDescent="0.3">
      <c r="A90">
        <v>2001812838</v>
      </c>
      <c r="B90" t="s">
        <v>36</v>
      </c>
      <c r="C90">
        <v>4</v>
      </c>
      <c r="D90">
        <f>_xlfn.XLOOKUP(Order_Report[[#This Row],[SKU]],SKU_Master[SKU],SKU_Master[Weight (g)],"not found")</f>
        <v>112</v>
      </c>
      <c r="E90">
        <f>Order_Report[[#This Row],[order weight ]]*Order_Report[[#This Row],[Order Qty]]</f>
        <v>448</v>
      </c>
      <c r="N90" s="2">
        <v>2001807241</v>
      </c>
      <c r="O90">
        <f>SUMIFS(Order_Report[_total weight ],Order_Report[ExternOrderNo],$N90)</f>
        <v>607</v>
      </c>
      <c r="P90">
        <f>CEILING(Table8[[#This Row],[Total weight ]],0.5)</f>
        <v>607</v>
      </c>
      <c r="Q90" t="str">
        <f>_xlfn.XLOOKUP(Table8[[#This Row],[Ext Order No]],Invoice[Order ID],Invoice[Zone])</f>
        <v>d</v>
      </c>
      <c r="R90" t="str">
        <f>IF(pincodes[[#Headers],[Matching status]]="matched",'(abc)pincodes'!C89,'(abc)pincodes'!C89)</f>
        <v>b</v>
      </c>
      <c r="S90" t="str">
        <f>_xlfn.XLOOKUP(Table8[[#This Row],[ABC area ]],Invoice[Zone],Invoice[Type of Shipment])</f>
        <v>Forward charges</v>
      </c>
      <c r="T90" t="s">
        <v>119</v>
      </c>
      <c r="V90">
        <f>_xlfn.XLOOKUP(Table8[[#This Row],[Ext Order No]],Invoice[Order ID],Invoice[Billing Amount (Rs.)],"not found")</f>
        <v>90.2</v>
      </c>
      <c r="W9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0">
        <f>_xlfn.XLOOKUP(Table8[[#This Row],[Ext Order No]],Invoice[Order ID],Invoice[AWB Code])</f>
        <v>1091117324011</v>
      </c>
      <c r="Y90" s="4">
        <f>((Table8[[#This Row],[Courirer Price ]]-Table8[[#This Row],[Expected Price]])/Table8[[#This Row],[Expected Price]])*100</f>
        <v>173.33333333333334</v>
      </c>
      <c r="Z90" s="4" t="str">
        <f>IF(Table8[[#This Row],[%change]]&gt;0,"Over Charged",IF(Table8[[#This Row],[%change]]=0,"Perfectly Charged",IF(Table8[[#This Row],[%change]]&lt;0,"Under Charged")))</f>
        <v>Over Charged</v>
      </c>
    </row>
    <row r="91" spans="1:26" x14ac:dyDescent="0.3">
      <c r="A91">
        <v>2001812650</v>
      </c>
      <c r="B91" t="s">
        <v>36</v>
      </c>
      <c r="C91">
        <v>4</v>
      </c>
      <c r="D91">
        <f>_xlfn.XLOOKUP(Order_Report[[#This Row],[SKU]],SKU_Master[SKU],SKU_Master[Weight (g)],"not found")</f>
        <v>112</v>
      </c>
      <c r="E91">
        <f>Order_Report[[#This Row],[order weight ]]*Order_Report[[#This Row],[Order Qty]]</f>
        <v>448</v>
      </c>
      <c r="N91" s="1">
        <v>2001807186</v>
      </c>
      <c r="O91">
        <f>SUMIFS(Order_Report[_total weight ],Order_Report[ExternOrderNo],$N91)</f>
        <v>500</v>
      </c>
      <c r="P91">
        <f>CEILING(Table8[[#This Row],[Total weight ]],0.5)</f>
        <v>500</v>
      </c>
      <c r="Q91" t="str">
        <f>_xlfn.XLOOKUP(Table8[[#This Row],[Ext Order No]],Invoice[Order ID],Invoice[Zone])</f>
        <v>d</v>
      </c>
      <c r="R91" t="str">
        <f>IF(pincodes[[#Headers],[Matching status]]="matched",'(abc)pincodes'!C90,'(abc)pincodes'!C90)</f>
        <v>b</v>
      </c>
      <c r="S91" t="str">
        <f>_xlfn.XLOOKUP(Table8[[#This Row],[ABC area ]],Invoice[Zone],Invoice[Type of Shipment])</f>
        <v>Forward charges</v>
      </c>
      <c r="T91" t="s">
        <v>119</v>
      </c>
      <c r="V91">
        <f>_xlfn.XLOOKUP(Table8[[#This Row],[Ext Order No]],Invoice[Order ID],Invoice[Billing Amount (Rs.)],"not found")</f>
        <v>45.4</v>
      </c>
      <c r="W9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1">
        <f>_xlfn.XLOOKUP(Table8[[#This Row],[Ext Order No]],Invoice[Order ID],Invoice[AWB Code])</f>
        <v>1091117323812</v>
      </c>
      <c r="Y91" s="4">
        <f>((Table8[[#This Row],[Courirer Price ]]-Table8[[#This Row],[Expected Price]])/Table8[[#This Row],[Expected Price]])*100</f>
        <v>37.575757575757571</v>
      </c>
      <c r="Z91" s="4" t="str">
        <f>IF(Table8[[#This Row],[%change]]&gt;0,"Over Charged",IF(Table8[[#This Row],[%change]]=0,"Perfectly Charged",IF(Table8[[#This Row],[%change]]&lt;0,"Under Charged")))</f>
        <v>Over Charged</v>
      </c>
    </row>
    <row r="92" spans="1:26" x14ac:dyDescent="0.3">
      <c r="A92">
        <v>2001812650</v>
      </c>
      <c r="B92" t="s">
        <v>38</v>
      </c>
      <c r="C92">
        <v>1</v>
      </c>
      <c r="D92">
        <f>_xlfn.XLOOKUP(Order_Report[[#This Row],[SKU]],SKU_Master[SKU],SKU_Master[Weight (g)],"not found")</f>
        <v>115</v>
      </c>
      <c r="E92">
        <f>Order_Report[[#This Row],[order weight ]]*Order_Report[[#This Row],[Order Qty]]</f>
        <v>115</v>
      </c>
      <c r="N92" s="2">
        <v>2001807084</v>
      </c>
      <c r="O92">
        <f>SUMIFS(Order_Report[_total weight ],Order_Report[ExternOrderNo],$N92)</f>
        <v>500</v>
      </c>
      <c r="P92">
        <f>CEILING(Table8[[#This Row],[Total weight ]],0.5)</f>
        <v>500</v>
      </c>
      <c r="Q92" t="str">
        <f>_xlfn.XLOOKUP(Table8[[#This Row],[Ext Order No]],Invoice[Order ID],Invoice[Zone])</f>
        <v>d</v>
      </c>
      <c r="R92" t="str">
        <f>IF(pincodes[[#Headers],[Matching status]]="matched",'(abc)pincodes'!C91,'(abc)pincodes'!C91)</f>
        <v>b</v>
      </c>
      <c r="S92" t="str">
        <f>_xlfn.XLOOKUP(Table8[[#This Row],[ABC area ]],Invoice[Zone],Invoice[Type of Shipment])</f>
        <v>Forward charges</v>
      </c>
      <c r="T92" t="s">
        <v>119</v>
      </c>
      <c r="V92">
        <f>_xlfn.XLOOKUP(Table8[[#This Row],[Ext Order No]],Invoice[Order ID],Invoice[Billing Amount (Rs.)],"not found")</f>
        <v>90.2</v>
      </c>
      <c r="W92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2">
        <f>_xlfn.XLOOKUP(Table8[[#This Row],[Ext Order No]],Invoice[Order ID],Invoice[AWB Code])</f>
        <v>1091117323215</v>
      </c>
      <c r="Y92" s="4">
        <f>((Table8[[#This Row],[Courirer Price ]]-Table8[[#This Row],[Expected Price]])/Table8[[#This Row],[Expected Price]])*100</f>
        <v>173.33333333333334</v>
      </c>
      <c r="Z92" s="4" t="str">
        <f>IF(Table8[[#This Row],[%change]]&gt;0,"Over Charged",IF(Table8[[#This Row],[%change]]=0,"Perfectly Charged",IF(Table8[[#This Row],[%change]]&lt;0,"Under Charged")))</f>
        <v>Over Charged</v>
      </c>
    </row>
    <row r="93" spans="1:26" x14ac:dyDescent="0.3">
      <c r="A93">
        <v>2001812195</v>
      </c>
      <c r="B93" t="s">
        <v>25</v>
      </c>
      <c r="C93">
        <v>1</v>
      </c>
      <c r="D93">
        <f>_xlfn.XLOOKUP(Order_Report[[#This Row],[SKU]],SKU_Master[SKU],SKU_Master[Weight (g)],"not found")</f>
        <v>127</v>
      </c>
      <c r="E93">
        <f>Order_Report[[#This Row],[order weight ]]*Order_Report[[#This Row],[Order Qty]]</f>
        <v>127</v>
      </c>
      <c r="N93" s="1">
        <v>2001807058</v>
      </c>
      <c r="O93">
        <f>SUMIFS(Order_Report[_total weight ],Order_Report[ExternOrderNo],$N93)</f>
        <v>1168</v>
      </c>
      <c r="P93">
        <f>CEILING(Table8[[#This Row],[Total weight ]],0.5)</f>
        <v>1168</v>
      </c>
      <c r="Q93" t="str">
        <f>_xlfn.XLOOKUP(Table8[[#This Row],[Ext Order No]],Invoice[Order ID],Invoice[Zone])</f>
        <v>b</v>
      </c>
      <c r="R93" t="str">
        <f>IF(pincodes[[#Headers],[Matching status]]="matched",'(abc)pincodes'!C92,'(abc)pincodes'!C92)</f>
        <v>b</v>
      </c>
      <c r="S93" t="str">
        <f>_xlfn.XLOOKUP(Table8[[#This Row],[ABC area ]],Invoice[Zone],Invoice[Type of Shipment])</f>
        <v>Forward charges</v>
      </c>
      <c r="T93" t="s">
        <v>119</v>
      </c>
      <c r="V93">
        <f>_xlfn.XLOOKUP(Table8[[#This Row],[Ext Order No]],Invoice[Order ID],Invoice[Billing Amount (Rs.)],"not found")</f>
        <v>89.6</v>
      </c>
      <c r="W9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3">
        <f>_xlfn.XLOOKUP(Table8[[#This Row],[Ext Order No]],Invoice[Order ID],Invoice[AWB Code])</f>
        <v>1091117323112</v>
      </c>
      <c r="Y93" s="4">
        <f>((Table8[[#This Row],[Courirer Price ]]-Table8[[#This Row],[Expected Price]])/Table8[[#This Row],[Expected Price]])*100</f>
        <v>171.5151515151515</v>
      </c>
      <c r="Z93" s="4" t="str">
        <f>IF(Table8[[#This Row],[%change]]&gt;0,"Over Charged",IF(Table8[[#This Row],[%change]]=0,"Perfectly Charged",IF(Table8[[#This Row],[%change]]&lt;0,"Under Charged")))</f>
        <v>Over Charged</v>
      </c>
    </row>
    <row r="94" spans="1:26" x14ac:dyDescent="0.3">
      <c r="A94">
        <v>2001812195</v>
      </c>
      <c r="B94" t="s">
        <v>34</v>
      </c>
      <c r="C94">
        <v>1</v>
      </c>
      <c r="D94">
        <f>_xlfn.XLOOKUP(Order_Report[[#This Row],[SKU]],SKU_Master[SKU],SKU_Master[Weight (g)],"not found")</f>
        <v>133</v>
      </c>
      <c r="E94">
        <f>Order_Report[[#This Row],[order weight ]]*Order_Report[[#This Row],[Order Qty]]</f>
        <v>133</v>
      </c>
      <c r="N94" s="1">
        <v>2001807036</v>
      </c>
      <c r="O94">
        <f>SUMIFS(Order_Report[_total weight ],Order_Report[ExternOrderNo],$N94)</f>
        <v>1459</v>
      </c>
      <c r="P94">
        <f>CEILING(Table8[[#This Row],[Total weight ]],0.5)</f>
        <v>1459</v>
      </c>
      <c r="Q94" t="str">
        <f>_xlfn.XLOOKUP(Table8[[#This Row],[Ext Order No]],Invoice[Order ID],Invoice[Zone])</f>
        <v>d</v>
      </c>
      <c r="R94" t="str">
        <f>IF(pincodes[[#Headers],[Matching status]]="matched",'(abc)pincodes'!C93,'(abc)pincodes'!C93)</f>
        <v>b</v>
      </c>
      <c r="S94" t="str">
        <f>_xlfn.XLOOKUP(Table8[[#This Row],[ABC area ]],Invoice[Zone],Invoice[Type of Shipment])</f>
        <v>Forward charges</v>
      </c>
      <c r="T94" t="s">
        <v>119</v>
      </c>
      <c r="V94">
        <f>_xlfn.XLOOKUP(Table8[[#This Row],[Ext Order No]],Invoice[Order ID],Invoice[Billing Amount (Rs.)],"not found")</f>
        <v>179.8</v>
      </c>
      <c r="W94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4">
        <f>_xlfn.XLOOKUP(Table8[[#This Row],[Ext Order No]],Invoice[Order ID],Invoice[AWB Code])</f>
        <v>1091117323005</v>
      </c>
      <c r="Y94" s="4">
        <f>((Table8[[#This Row],[Courirer Price ]]-Table8[[#This Row],[Expected Price]])/Table8[[#This Row],[Expected Price]])*100</f>
        <v>444.84848484848493</v>
      </c>
      <c r="Z94" s="4" t="str">
        <f>IF(Table8[[#This Row],[%change]]&gt;0,"Over Charged",IF(Table8[[#This Row],[%change]]=0,"Perfectly Charged",IF(Table8[[#This Row],[%change]]&lt;0,"Under Charged")))</f>
        <v>Over Charged</v>
      </c>
    </row>
    <row r="95" spans="1:26" x14ac:dyDescent="0.3">
      <c r="A95">
        <v>2001812195</v>
      </c>
      <c r="B95" t="s">
        <v>30</v>
      </c>
      <c r="C95">
        <v>1</v>
      </c>
      <c r="D95">
        <f>_xlfn.XLOOKUP(Order_Report[[#This Row],[SKU]],SKU_Master[SKU],SKU_Master[Weight (g)],"not found")</f>
        <v>240</v>
      </c>
      <c r="E95">
        <f>Order_Report[[#This Row],[order weight ]]*Order_Report[[#This Row],[Order Qty]]</f>
        <v>240</v>
      </c>
      <c r="N95" s="1">
        <v>2001807012</v>
      </c>
      <c r="O95">
        <f>SUMIFS(Order_Report[_total weight ],Order_Report[ExternOrderNo],$N95)</f>
        <v>240</v>
      </c>
      <c r="P95">
        <f>CEILING(Table8[[#This Row],[Total weight ]],0.5)</f>
        <v>240</v>
      </c>
      <c r="Q95" t="str">
        <f>_xlfn.XLOOKUP(Table8[[#This Row],[Ext Order No]],Invoice[Order ID],Invoice[Zone])</f>
        <v>d</v>
      </c>
      <c r="R95" t="str">
        <f>IF(pincodes[[#Headers],[Matching status]]="matched",'(abc)pincodes'!C94,'(abc)pincodes'!C94)</f>
        <v>b</v>
      </c>
      <c r="S95" t="str">
        <f>_xlfn.XLOOKUP(Table8[[#This Row],[ABC area ]],Invoice[Zone],Invoice[Type of Shipment])</f>
        <v>Forward charges</v>
      </c>
      <c r="T95" t="s">
        <v>119</v>
      </c>
      <c r="V95">
        <f>_xlfn.XLOOKUP(Table8[[#This Row],[Ext Order No]],Invoice[Order ID],Invoice[Billing Amount (Rs.)],"not found")</f>
        <v>45.4</v>
      </c>
      <c r="W9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5">
        <f>_xlfn.XLOOKUP(Table8[[#This Row],[Ext Order No]],Invoice[Order ID],Invoice[AWB Code])</f>
        <v>1091117229345</v>
      </c>
      <c r="Y95" s="4">
        <f>((Table8[[#This Row],[Courirer Price ]]-Table8[[#This Row],[Expected Price]])/Table8[[#This Row],[Expected Price]])*100</f>
        <v>37.575757575757571</v>
      </c>
      <c r="Z95" s="4" t="str">
        <f>IF(Table8[[#This Row],[%change]]&gt;0,"Over Charged",IF(Table8[[#This Row],[%change]]=0,"Perfectly Charged",IF(Table8[[#This Row],[%change]]&lt;0,"Under Charged")))</f>
        <v>Over Charged</v>
      </c>
    </row>
    <row r="96" spans="1:26" x14ac:dyDescent="0.3">
      <c r="A96">
        <v>2001811809</v>
      </c>
      <c r="B96" t="s">
        <v>25</v>
      </c>
      <c r="C96">
        <v>1</v>
      </c>
      <c r="D96">
        <f>_xlfn.XLOOKUP(Order_Report[[#This Row],[SKU]],SKU_Master[SKU],SKU_Master[Weight (g)],"not found")</f>
        <v>127</v>
      </c>
      <c r="E96">
        <f>Order_Report[[#This Row],[order weight ]]*Order_Report[[#This Row],[Order Qty]]</f>
        <v>127</v>
      </c>
      <c r="N96" s="2">
        <v>2001807004</v>
      </c>
      <c r="O96">
        <f>SUMIFS(Order_Report[_total weight ],Order_Report[ExternOrderNo],$N96)</f>
        <v>500</v>
      </c>
      <c r="P96">
        <f>CEILING(Table8[[#This Row],[Total weight ]],0.5)</f>
        <v>500</v>
      </c>
      <c r="Q96" t="str">
        <f>_xlfn.XLOOKUP(Table8[[#This Row],[Ext Order No]],Invoice[Order ID],Invoice[Zone])</f>
        <v>d</v>
      </c>
      <c r="R96" t="str">
        <f>IF(pincodes[[#Headers],[Matching status]]="matched",'(abc)pincodes'!C95,'(abc)pincodes'!C95)</f>
        <v>e</v>
      </c>
      <c r="S96" t="str">
        <f>_xlfn.XLOOKUP(Table8[[#This Row],[ABC area ]],Invoice[Zone],Invoice[Type of Shipment])</f>
        <v>Forward and RTO charges</v>
      </c>
      <c r="T96" t="s">
        <v>119</v>
      </c>
      <c r="U96" t="s">
        <v>120</v>
      </c>
      <c r="V96">
        <f>_xlfn.XLOOKUP(Table8[[#This Row],[Ext Order No]],Invoice[Order ID],Invoice[Billing Amount (Rs.)],"not found")</f>
        <v>90.2</v>
      </c>
      <c r="W96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96">
        <f>_xlfn.XLOOKUP(Table8[[#This Row],[Ext Order No]],Invoice[Order ID],Invoice[AWB Code])</f>
        <v>1091117229290</v>
      </c>
      <c r="Y96" s="4" t="e">
        <f>((Table8[[#This Row],[Courirer Price ]]-Table8[[#This Row],[Expected Price]])/Table8[[#This Row],[Expected Price]])*100</f>
        <v>#DIV/0!</v>
      </c>
      <c r="Z96" s="4" t="e">
        <f>IF(Table8[[#This Row],[%change]]&gt;0,"Over Charged",IF(Table8[[#This Row],[%change]]=0,"Perfectly Charged",IF(Table8[[#This Row],[%change]]&lt;0,"Under Charged")))</f>
        <v>#DIV/0!</v>
      </c>
    </row>
    <row r="97" spans="1:26" x14ac:dyDescent="0.3">
      <c r="A97">
        <v>2001811809</v>
      </c>
      <c r="B97" t="s">
        <v>34</v>
      </c>
      <c r="C97">
        <v>1</v>
      </c>
      <c r="D97">
        <f>_xlfn.XLOOKUP(Order_Report[[#This Row],[SKU]],SKU_Master[SKU],SKU_Master[Weight (g)],"not found")</f>
        <v>133</v>
      </c>
      <c r="E97">
        <f>Order_Report[[#This Row],[order weight ]]*Order_Report[[#This Row],[Order Qty]]</f>
        <v>133</v>
      </c>
      <c r="N97" s="1">
        <v>2001806968</v>
      </c>
      <c r="O97">
        <f>SUMIFS(Order_Report[_total weight ],Order_Report[ExternOrderNo],$N97)</f>
        <v>500</v>
      </c>
      <c r="P97">
        <f>CEILING(Table8[[#This Row],[Total weight ]],0.5)</f>
        <v>500</v>
      </c>
      <c r="Q97" t="str">
        <f>_xlfn.XLOOKUP(Table8[[#This Row],[Ext Order No]],Invoice[Order ID],Invoice[Zone])</f>
        <v>d</v>
      </c>
      <c r="R97" t="str">
        <f>IF(pincodes[[#Headers],[Matching status]]="matched",'(abc)pincodes'!C96,'(abc)pincodes'!C96)</f>
        <v>b</v>
      </c>
      <c r="S97" t="str">
        <f>_xlfn.XLOOKUP(Table8[[#This Row],[ABC area ]],Invoice[Zone],Invoice[Type of Shipment])</f>
        <v>Forward charges</v>
      </c>
      <c r="T97" t="s">
        <v>119</v>
      </c>
      <c r="V97">
        <f>_xlfn.XLOOKUP(Table8[[#This Row],[Ext Order No]],Invoice[Order ID],Invoice[Billing Amount (Rs.)],"not found")</f>
        <v>90.2</v>
      </c>
      <c r="W9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7">
        <f>_xlfn.XLOOKUP(Table8[[#This Row],[Ext Order No]],Invoice[Order ID],Invoice[AWB Code])</f>
        <v>1091117229183</v>
      </c>
      <c r="Y97" s="4">
        <f>((Table8[[#This Row],[Courirer Price ]]-Table8[[#This Row],[Expected Price]])/Table8[[#This Row],[Expected Price]])*100</f>
        <v>173.33333333333334</v>
      </c>
      <c r="Z97" s="4" t="str">
        <f>IF(Table8[[#This Row],[%change]]&gt;0,"Over Charged",IF(Table8[[#This Row],[%change]]=0,"Perfectly Charged",IF(Table8[[#This Row],[%change]]&lt;0,"Under Charged")))</f>
        <v>Over Charged</v>
      </c>
    </row>
    <row r="98" spans="1:26" x14ac:dyDescent="0.3">
      <c r="A98">
        <v>2001811809</v>
      </c>
      <c r="B98" t="s">
        <v>30</v>
      </c>
      <c r="C98">
        <v>1</v>
      </c>
      <c r="D98">
        <f>_xlfn.XLOOKUP(Order_Report[[#This Row],[SKU]],SKU_Master[SKU],SKU_Master[Weight (g)],"not found")</f>
        <v>240</v>
      </c>
      <c r="E98">
        <f>Order_Report[[#This Row],[order weight ]]*Order_Report[[#This Row],[Order Qty]]</f>
        <v>240</v>
      </c>
      <c r="N98" s="2">
        <v>2001806885</v>
      </c>
      <c r="O98">
        <f>SUMIFS(Order_Report[_total weight ],Order_Report[ExternOrderNo],$N98)</f>
        <v>420</v>
      </c>
      <c r="P98">
        <f>CEILING(Table8[[#This Row],[Total weight ]],0.5)</f>
        <v>420</v>
      </c>
      <c r="Q98" t="str">
        <f>_xlfn.XLOOKUP(Table8[[#This Row],[Ext Order No]],Invoice[Order ID],Invoice[Zone])</f>
        <v>b</v>
      </c>
      <c r="R98" t="str">
        <f>IF(pincodes[[#Headers],[Matching status]]="matched",'(abc)pincodes'!C97,'(abc)pincodes'!C97)</f>
        <v>b</v>
      </c>
      <c r="S98" t="str">
        <f>_xlfn.XLOOKUP(Table8[[#This Row],[ABC area ]],Invoice[Zone],Invoice[Type of Shipment])</f>
        <v>Forward charges</v>
      </c>
      <c r="T98" t="s">
        <v>119</v>
      </c>
      <c r="V98">
        <f>_xlfn.XLOOKUP(Table8[[#This Row],[Ext Order No]],Invoice[Order ID],Invoice[Billing Amount (Rs.)],"not found")</f>
        <v>61.3</v>
      </c>
      <c r="W9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8">
        <f>_xlfn.XLOOKUP(Table8[[#This Row],[Ext Order No]],Invoice[Order ID],Invoice[AWB Code])</f>
        <v>1091117229776</v>
      </c>
      <c r="Y98" s="4">
        <f>((Table8[[#This Row],[Courirer Price ]]-Table8[[#This Row],[Expected Price]])/Table8[[#This Row],[Expected Price]])*100</f>
        <v>85.757575757575751</v>
      </c>
      <c r="Z98" s="4" t="str">
        <f>IF(Table8[[#This Row],[%change]]&gt;0,"Over Charged",IF(Table8[[#This Row],[%change]]=0,"Perfectly Charged",IF(Table8[[#This Row],[%change]]&lt;0,"Under Charged")))</f>
        <v>Over Charged</v>
      </c>
    </row>
    <row r="99" spans="1:26" x14ac:dyDescent="0.3">
      <c r="A99">
        <v>2001811604</v>
      </c>
      <c r="B99" t="s">
        <v>10</v>
      </c>
      <c r="C99">
        <v>1</v>
      </c>
      <c r="D99">
        <f>_xlfn.XLOOKUP(Order_Report[[#This Row],[SKU]],SKU_Master[SKU],SKU_Master[Weight (g)],"not found")</f>
        <v>120</v>
      </c>
      <c r="E99">
        <f>Order_Report[[#This Row],[order weight ]]*Order_Report[[#This Row],[Order Qty]]</f>
        <v>120</v>
      </c>
      <c r="N99" s="1">
        <v>2001806828</v>
      </c>
      <c r="O99">
        <f>SUMIFS(Order_Report[_total weight ],Order_Report[ExternOrderNo],$N99)</f>
        <v>500</v>
      </c>
      <c r="P99">
        <f>CEILING(Table8[[#This Row],[Total weight ]],0.5)</f>
        <v>500</v>
      </c>
      <c r="Q99" t="str">
        <f>_xlfn.XLOOKUP(Table8[[#This Row],[Ext Order No]],Invoice[Order ID],Invoice[Zone])</f>
        <v>d</v>
      </c>
      <c r="R99" t="str">
        <f>IF(pincodes[[#Headers],[Matching status]]="matched",'(abc)pincodes'!C98,'(abc)pincodes'!C98)</f>
        <v>b</v>
      </c>
      <c r="S99" t="str">
        <f>_xlfn.XLOOKUP(Table8[[#This Row],[ABC area ]],Invoice[Zone],Invoice[Type of Shipment])</f>
        <v>Forward charges</v>
      </c>
      <c r="T99" t="s">
        <v>119</v>
      </c>
      <c r="V99">
        <f>_xlfn.XLOOKUP(Table8[[#This Row],[Ext Order No]],Invoice[Order ID],Invoice[Billing Amount (Rs.)],"not found")</f>
        <v>90.2</v>
      </c>
      <c r="W9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99">
        <f>_xlfn.XLOOKUP(Table8[[#This Row],[Ext Order No]],Invoice[Order ID],Invoice[AWB Code])</f>
        <v>1091117228192</v>
      </c>
      <c r="Y99" s="4">
        <f>((Table8[[#This Row],[Courirer Price ]]-Table8[[#This Row],[Expected Price]])/Table8[[#This Row],[Expected Price]])*100</f>
        <v>173.33333333333334</v>
      </c>
      <c r="Z99" s="4" t="str">
        <f>IF(Table8[[#This Row],[%change]]&gt;0,"Over Charged",IF(Table8[[#This Row],[%change]]=0,"Perfectly Charged",IF(Table8[[#This Row],[%change]]&lt;0,"Under Charged")))</f>
        <v>Over Charged</v>
      </c>
    </row>
    <row r="100" spans="1:26" x14ac:dyDescent="0.3">
      <c r="A100">
        <v>2001811604</v>
      </c>
      <c r="B100" t="s">
        <v>23</v>
      </c>
      <c r="C100">
        <v>2</v>
      </c>
      <c r="D100">
        <f>_xlfn.XLOOKUP(Order_Report[[#This Row],[SKU]],SKU_Master[SKU],SKU_Master[Weight (g)],"not found")</f>
        <v>240</v>
      </c>
      <c r="E100">
        <f>Order_Report[[#This Row],[order weight ]]*Order_Report[[#This Row],[Order Qty]]</f>
        <v>480</v>
      </c>
      <c r="N100" s="2">
        <v>2001806823</v>
      </c>
      <c r="O100">
        <f>SUMIFS(Order_Report[_total weight ],Order_Report[ExternOrderNo],$N100)</f>
        <v>127</v>
      </c>
      <c r="P100">
        <f>CEILING(Table8[[#This Row],[Total weight ]],0.5)</f>
        <v>127</v>
      </c>
      <c r="Q100" t="str">
        <f>_xlfn.XLOOKUP(Table8[[#This Row],[Ext Order No]],Invoice[Order ID],Invoice[Zone])</f>
        <v>d</v>
      </c>
      <c r="R100" t="str">
        <f>IF(pincodes[[#Headers],[Matching status]]="matched",'(abc)pincodes'!C99,'(abc)pincodes'!C99)</f>
        <v>b</v>
      </c>
      <c r="S100" t="str">
        <f>_xlfn.XLOOKUP(Table8[[#This Row],[ABC area ]],Invoice[Zone],Invoice[Type of Shipment])</f>
        <v>Forward charges</v>
      </c>
      <c r="T100" t="s">
        <v>119</v>
      </c>
      <c r="V100">
        <f>_xlfn.XLOOKUP(Table8[[#This Row],[Ext Order No]],Invoice[Order ID],Invoice[Billing Amount (Rs.)],"not found")</f>
        <v>90.2</v>
      </c>
      <c r="W10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0">
        <f>_xlfn.XLOOKUP(Table8[[#This Row],[Ext Order No]],Invoice[Order ID],Invoice[AWB Code])</f>
        <v>1091117228133</v>
      </c>
      <c r="Y100" s="4">
        <f>((Table8[[#This Row],[Courirer Price ]]-Table8[[#This Row],[Expected Price]])/Table8[[#This Row],[Expected Price]])*100</f>
        <v>173.33333333333334</v>
      </c>
      <c r="Z100" s="4" t="str">
        <f>IF(Table8[[#This Row],[%change]]&gt;0,"Over Charged",IF(Table8[[#This Row],[%change]]=0,"Perfectly Charged",IF(Table8[[#This Row],[%change]]&lt;0,"Under Charged")))</f>
        <v>Over Charged</v>
      </c>
    </row>
    <row r="101" spans="1:26" x14ac:dyDescent="0.3">
      <c r="A101">
        <v>2001811604</v>
      </c>
      <c r="B101" t="s">
        <v>24</v>
      </c>
      <c r="C101">
        <v>1</v>
      </c>
      <c r="D101">
        <f>_xlfn.XLOOKUP(Order_Report[[#This Row],[SKU]],SKU_Master[SKU],SKU_Master[Weight (g)],"not found")</f>
        <v>121</v>
      </c>
      <c r="E101">
        <f>Order_Report[[#This Row],[order weight ]]*Order_Report[[#This Row],[Order Qty]]</f>
        <v>121</v>
      </c>
      <c r="N101" s="1">
        <v>2001806801</v>
      </c>
      <c r="O101">
        <f>SUMIFS(Order_Report[_total weight ],Order_Report[ExternOrderNo],$N101)</f>
        <v>361</v>
      </c>
      <c r="P101">
        <f>CEILING(Table8[[#This Row],[Total weight ]],0.5)</f>
        <v>361</v>
      </c>
      <c r="Q101" t="str">
        <f>_xlfn.XLOOKUP(Table8[[#This Row],[Ext Order No]],Invoice[Order ID],Invoice[Zone])</f>
        <v>b</v>
      </c>
      <c r="R101" t="str">
        <f>IF(pincodes[[#Headers],[Matching status]]="matched",'(abc)pincodes'!C100,'(abc)pincodes'!C100)</f>
        <v>b</v>
      </c>
      <c r="S101" t="str">
        <f>_xlfn.XLOOKUP(Table8[[#This Row],[ABC area ]],Invoice[Zone],Invoice[Type of Shipment])</f>
        <v>Forward charges</v>
      </c>
      <c r="T101" t="s">
        <v>119</v>
      </c>
      <c r="V101">
        <f>_xlfn.XLOOKUP(Table8[[#This Row],[Ext Order No]],Invoice[Order ID],Invoice[Billing Amount (Rs.)],"not found")</f>
        <v>89.6</v>
      </c>
      <c r="W101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1">
        <f>_xlfn.XLOOKUP(Table8[[#This Row],[Ext Order No]],Invoice[Order ID],Invoice[AWB Code])</f>
        <v>1091117227816</v>
      </c>
      <c r="Y101" s="4">
        <f>((Table8[[#This Row],[Courirer Price ]]-Table8[[#This Row],[Expected Price]])/Table8[[#This Row],[Expected Price]])*100</f>
        <v>171.5151515151515</v>
      </c>
      <c r="Z101" s="4" t="str">
        <f>IF(Table8[[#This Row],[%change]]&gt;0,"Over Charged",IF(Table8[[#This Row],[%change]]=0,"Perfectly Charged",IF(Table8[[#This Row],[%change]]&lt;0,"Under Charged")))</f>
        <v>Over Charged</v>
      </c>
    </row>
    <row r="102" spans="1:26" x14ac:dyDescent="0.3">
      <c r="A102">
        <v>2001811475</v>
      </c>
      <c r="B102" t="s">
        <v>25</v>
      </c>
      <c r="C102">
        <v>1</v>
      </c>
      <c r="D102">
        <f>_xlfn.XLOOKUP(Order_Report[[#This Row],[SKU]],SKU_Master[SKU],SKU_Master[Weight (g)],"not found")</f>
        <v>127</v>
      </c>
      <c r="E102">
        <f>Order_Report[[#This Row],[order weight ]]*Order_Report[[#This Row],[Order Qty]]</f>
        <v>127</v>
      </c>
      <c r="N102" s="1">
        <v>2001806776</v>
      </c>
      <c r="O102">
        <f>SUMIFS(Order_Report[_total weight ],Order_Report[ExternOrderNo],$N102)</f>
        <v>611</v>
      </c>
      <c r="P102">
        <f>CEILING(Table8[[#This Row],[Total weight ]],0.5)</f>
        <v>611</v>
      </c>
      <c r="Q102" t="str">
        <f>_xlfn.XLOOKUP(Table8[[#This Row],[Ext Order No]],Invoice[Order ID],Invoice[Zone])</f>
        <v>b</v>
      </c>
      <c r="R102" t="str">
        <f>IF(pincodes[[#Headers],[Matching status]]="matched",'(abc)pincodes'!C101,'(abc)pincodes'!C101)</f>
        <v>b</v>
      </c>
      <c r="S102" t="str">
        <f>_xlfn.XLOOKUP(Table8[[#This Row],[ABC area ]],Invoice[Zone],Invoice[Type of Shipment])</f>
        <v>Forward charges</v>
      </c>
      <c r="T102" t="s">
        <v>119</v>
      </c>
      <c r="V102">
        <f>_xlfn.XLOOKUP(Table8[[#This Row],[Ext Order No]],Invoice[Order ID],Invoice[Billing Amount (Rs.)],"not found")</f>
        <v>174.5</v>
      </c>
      <c r="W102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2">
        <f>_xlfn.XLOOKUP(Table8[[#This Row],[Ext Order No]],Invoice[Order ID],Invoice[AWB Code])</f>
        <v>1091117227573</v>
      </c>
      <c r="Y102" s="4">
        <f>((Table8[[#This Row],[Courirer Price ]]-Table8[[#This Row],[Expected Price]])/Table8[[#This Row],[Expected Price]])*100</f>
        <v>428.78787878787881</v>
      </c>
      <c r="Z102" s="4" t="str">
        <f>IF(Table8[[#This Row],[%change]]&gt;0,"Over Charged",IF(Table8[[#This Row],[%change]]=0,"Perfectly Charged",IF(Table8[[#This Row],[%change]]&lt;0,"Under Charged")))</f>
        <v>Over Charged</v>
      </c>
    </row>
    <row r="103" spans="1:26" x14ac:dyDescent="0.3">
      <c r="A103">
        <v>2001811475</v>
      </c>
      <c r="B103" t="s">
        <v>23</v>
      </c>
      <c r="C103">
        <v>1</v>
      </c>
      <c r="D103">
        <f>_xlfn.XLOOKUP(Order_Report[[#This Row],[SKU]],SKU_Master[SKU],SKU_Master[Weight (g)],"not found")</f>
        <v>240</v>
      </c>
      <c r="E103">
        <f>Order_Report[[#This Row],[order weight ]]*Order_Report[[#This Row],[Order Qty]]</f>
        <v>240</v>
      </c>
      <c r="N103" s="2">
        <v>2001806768</v>
      </c>
      <c r="O103">
        <f>SUMIFS(Order_Report[_total weight ],Order_Report[ExternOrderNo],$N103)</f>
        <v>840</v>
      </c>
      <c r="P103">
        <f>CEILING(Table8[[#This Row],[Total weight ]],0.5)</f>
        <v>840</v>
      </c>
      <c r="Q103" t="str">
        <f>_xlfn.XLOOKUP(Table8[[#This Row],[Ext Order No]],Invoice[Order ID],Invoice[Zone])</f>
        <v>d</v>
      </c>
      <c r="R103" t="str">
        <f>IF(pincodes[[#Headers],[Matching status]]="matched",'(abc)pincodes'!C102,'(abc)pincodes'!C102)</f>
        <v>b</v>
      </c>
      <c r="S103" t="str">
        <f>_xlfn.XLOOKUP(Table8[[#This Row],[ABC area ]],Invoice[Zone],Invoice[Type of Shipment])</f>
        <v>Forward charges</v>
      </c>
      <c r="T103" t="s">
        <v>119</v>
      </c>
      <c r="V103">
        <f>_xlfn.XLOOKUP(Table8[[#This Row],[Ext Order No]],Invoice[Order ID],Invoice[Billing Amount (Rs.)],"not found")</f>
        <v>135</v>
      </c>
      <c r="W103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3">
        <f>_xlfn.XLOOKUP(Table8[[#This Row],[Ext Order No]],Invoice[Order ID],Invoice[AWB Code])</f>
        <v>1091117227116</v>
      </c>
      <c r="Y103" s="4">
        <f>((Table8[[#This Row],[Courirer Price ]]-Table8[[#This Row],[Expected Price]])/Table8[[#This Row],[Expected Price]])*100</f>
        <v>309.09090909090907</v>
      </c>
      <c r="Z103" s="4" t="str">
        <f>IF(Table8[[#This Row],[%change]]&gt;0,"Over Charged",IF(Table8[[#This Row],[%change]]=0,"Perfectly Charged",IF(Table8[[#This Row],[%change]]&lt;0,"Under Charged")))</f>
        <v>Over Charged</v>
      </c>
    </row>
    <row r="104" spans="1:26" x14ac:dyDescent="0.3">
      <c r="A104">
        <v>2001811475</v>
      </c>
      <c r="B104" t="s">
        <v>67</v>
      </c>
      <c r="C104">
        <v>1</v>
      </c>
      <c r="D104">
        <f>_xlfn.XLOOKUP(Order_Report[[#This Row],[SKU]],SKU_Master[SKU],SKU_Master[Weight (g)],"not found")</f>
        <v>210</v>
      </c>
      <c r="E104">
        <f>Order_Report[[#This Row],[order weight ]]*Order_Report[[#This Row],[Order Qty]]</f>
        <v>210</v>
      </c>
      <c r="N104" s="1">
        <v>2001806735</v>
      </c>
      <c r="O104">
        <f>SUMIFS(Order_Report[_total weight ],Order_Report[ExternOrderNo],$N104)</f>
        <v>500</v>
      </c>
      <c r="P104">
        <f>CEILING(Table8[[#This Row],[Total weight ]],0.5)</f>
        <v>500</v>
      </c>
      <c r="Q104" t="str">
        <f>_xlfn.XLOOKUP(Table8[[#This Row],[Ext Order No]],Invoice[Order ID],Invoice[Zone])</f>
        <v>d</v>
      </c>
      <c r="R104" t="str">
        <f>IF(pincodes[[#Headers],[Matching status]]="matched",'(abc)pincodes'!C103,'(abc)pincodes'!C103)</f>
        <v>b</v>
      </c>
      <c r="S104" t="str">
        <f>_xlfn.XLOOKUP(Table8[[#This Row],[ABC area ]],Invoice[Zone],Invoice[Type of Shipment])</f>
        <v>Forward charges</v>
      </c>
      <c r="T104" t="s">
        <v>119</v>
      </c>
      <c r="V104">
        <f>_xlfn.XLOOKUP(Table8[[#This Row],[Ext Order No]],Invoice[Order ID],Invoice[Billing Amount (Rs.)],"not found")</f>
        <v>90.2</v>
      </c>
      <c r="W104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4">
        <f>_xlfn.XLOOKUP(Table8[[#This Row],[Ext Order No]],Invoice[Order ID],Invoice[AWB Code])</f>
        <v>1091117226711</v>
      </c>
      <c r="Y104" s="4">
        <f>((Table8[[#This Row],[Courirer Price ]]-Table8[[#This Row],[Expected Price]])/Table8[[#This Row],[Expected Price]])*100</f>
        <v>173.33333333333334</v>
      </c>
      <c r="Z104" s="4" t="str">
        <f>IF(Table8[[#This Row],[%change]]&gt;0,"Over Charged",IF(Table8[[#This Row],[%change]]=0,"Perfectly Charged",IF(Table8[[#This Row],[%change]]&lt;0,"Under Charged")))</f>
        <v>Over Charged</v>
      </c>
    </row>
    <row r="105" spans="1:26" x14ac:dyDescent="0.3">
      <c r="A105">
        <v>2001811475</v>
      </c>
      <c r="B105" t="s">
        <v>36</v>
      </c>
      <c r="C105">
        <v>1</v>
      </c>
      <c r="D105">
        <f>_xlfn.XLOOKUP(Order_Report[[#This Row],[SKU]],SKU_Master[SKU],SKU_Master[Weight (g)],"not found")</f>
        <v>112</v>
      </c>
      <c r="E105">
        <f>Order_Report[[#This Row],[order weight ]]*Order_Report[[#This Row],[Order Qty]]</f>
        <v>112</v>
      </c>
      <c r="N105" s="2">
        <v>2001806733</v>
      </c>
      <c r="O105">
        <f>SUMIFS(Order_Report[_total weight ],Order_Report[ExternOrderNo],$N105)</f>
        <v>967</v>
      </c>
      <c r="P105">
        <f>CEILING(Table8[[#This Row],[Total weight ]],0.5)</f>
        <v>967</v>
      </c>
      <c r="Q105" t="str">
        <f>_xlfn.XLOOKUP(Table8[[#This Row],[Ext Order No]],Invoice[Order ID],Invoice[Zone])</f>
        <v>d</v>
      </c>
      <c r="R105" t="str">
        <f>IF(pincodes[[#Headers],[Matching status]]="matched",'(abc)pincodes'!C104,'(abc)pincodes'!C104)</f>
        <v>b</v>
      </c>
      <c r="S105" t="str">
        <f>_xlfn.XLOOKUP(Table8[[#This Row],[ABC area ]],Invoice[Zone],Invoice[Type of Shipment])</f>
        <v>Forward charges</v>
      </c>
      <c r="T105" t="s">
        <v>119</v>
      </c>
      <c r="V105">
        <f>_xlfn.XLOOKUP(Table8[[#This Row],[Ext Order No]],Invoice[Order ID],Invoice[Billing Amount (Rs.)],"not found")</f>
        <v>135</v>
      </c>
      <c r="W105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5">
        <f>_xlfn.XLOOKUP(Table8[[#This Row],[Ext Order No]],Invoice[Order ID],Invoice[AWB Code])</f>
        <v>1091117226674</v>
      </c>
      <c r="Y105" s="4">
        <f>((Table8[[#This Row],[Courirer Price ]]-Table8[[#This Row],[Expected Price]])/Table8[[#This Row],[Expected Price]])*100</f>
        <v>309.09090909090907</v>
      </c>
      <c r="Z105" s="4" t="str">
        <f>IF(Table8[[#This Row],[%change]]&gt;0,"Over Charged",IF(Table8[[#This Row],[%change]]=0,"Perfectly Charged",IF(Table8[[#This Row],[%change]]&lt;0,"Under Charged")))</f>
        <v>Over Charged</v>
      </c>
    </row>
    <row r="106" spans="1:26" x14ac:dyDescent="0.3">
      <c r="A106">
        <v>2001811466</v>
      </c>
      <c r="B106" t="s">
        <v>25</v>
      </c>
      <c r="C106">
        <v>1</v>
      </c>
      <c r="D106">
        <f>_xlfn.XLOOKUP(Order_Report[[#This Row],[SKU]],SKU_Master[SKU],SKU_Master[Weight (g)],"not found")</f>
        <v>127</v>
      </c>
      <c r="E106">
        <f>Order_Report[[#This Row],[order weight ]]*Order_Report[[#This Row],[Order Qty]]</f>
        <v>127</v>
      </c>
      <c r="N106" s="1">
        <v>2001806726</v>
      </c>
      <c r="O106">
        <f>SUMIFS(Order_Report[_total weight ],Order_Report[ExternOrderNo],$N106)</f>
        <v>500</v>
      </c>
      <c r="P106">
        <f>CEILING(Table8[[#This Row],[Total weight ]],0.5)</f>
        <v>500</v>
      </c>
      <c r="Q106" t="str">
        <f>_xlfn.XLOOKUP(Table8[[#This Row],[Ext Order No]],Invoice[Order ID],Invoice[Zone])</f>
        <v>d</v>
      </c>
      <c r="R106" t="str">
        <f>IF(pincodes[[#Headers],[Matching status]]="matched",'(abc)pincodes'!C105,'(abc)pincodes'!C105)</f>
        <v>b</v>
      </c>
      <c r="S106" t="str">
        <f>_xlfn.XLOOKUP(Table8[[#This Row],[ABC area ]],Invoice[Zone],Invoice[Type of Shipment])</f>
        <v>Forward charges</v>
      </c>
      <c r="T106" t="s">
        <v>119</v>
      </c>
      <c r="V106">
        <f>_xlfn.XLOOKUP(Table8[[#This Row],[Ext Order No]],Invoice[Order ID],Invoice[Billing Amount (Rs.)],"not found")</f>
        <v>90.2</v>
      </c>
      <c r="W106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6">
        <f>_xlfn.XLOOKUP(Table8[[#This Row],[Ext Order No]],Invoice[Order ID],Invoice[AWB Code])</f>
        <v>1091117226910</v>
      </c>
      <c r="Y106" s="4">
        <f>((Table8[[#This Row],[Courirer Price ]]-Table8[[#This Row],[Expected Price]])/Table8[[#This Row],[Expected Price]])*100</f>
        <v>173.33333333333334</v>
      </c>
      <c r="Z106" s="4" t="str">
        <f>IF(Table8[[#This Row],[%change]]&gt;0,"Over Charged",IF(Table8[[#This Row],[%change]]=0,"Perfectly Charged",IF(Table8[[#This Row],[%change]]&lt;0,"Under Charged")))</f>
        <v>Over Charged</v>
      </c>
    </row>
    <row r="107" spans="1:26" x14ac:dyDescent="0.3">
      <c r="A107">
        <v>2001811466</v>
      </c>
      <c r="B107" t="s">
        <v>30</v>
      </c>
      <c r="C107">
        <v>1</v>
      </c>
      <c r="D107">
        <f>_xlfn.XLOOKUP(Order_Report[[#This Row],[SKU]],SKU_Master[SKU],SKU_Master[Weight (g)],"not found")</f>
        <v>240</v>
      </c>
      <c r="E107">
        <f>Order_Report[[#This Row],[order weight ]]*Order_Report[[#This Row],[Order Qty]]</f>
        <v>240</v>
      </c>
      <c r="N107" s="2">
        <v>2001806686</v>
      </c>
      <c r="O107">
        <f>SUMIFS(Order_Report[_total weight ],Order_Report[ExternOrderNo],$N107)</f>
        <v>240</v>
      </c>
      <c r="P107">
        <f>CEILING(Table8[[#This Row],[Total weight ]],0.5)</f>
        <v>240</v>
      </c>
      <c r="Q107" t="str">
        <f>_xlfn.XLOOKUP(Table8[[#This Row],[Ext Order No]],Invoice[Order ID],Invoice[Zone])</f>
        <v>d</v>
      </c>
      <c r="R107" t="str">
        <f>IF(pincodes[[#Headers],[Matching status]]="matched",'(abc)pincodes'!C106,'(abc)pincodes'!C106)</f>
        <v>b</v>
      </c>
      <c r="S107" t="str">
        <f>_xlfn.XLOOKUP(Table8[[#This Row],[ABC area ]],Invoice[Zone],Invoice[Type of Shipment])</f>
        <v>Forward charges</v>
      </c>
      <c r="T107" t="s">
        <v>119</v>
      </c>
      <c r="V107">
        <f>_xlfn.XLOOKUP(Table8[[#This Row],[Ext Order No]],Invoice[Order ID],Invoice[Billing Amount (Rs.)],"not found")</f>
        <v>45.4</v>
      </c>
      <c r="W107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7">
        <f>_xlfn.XLOOKUP(Table8[[#This Row],[Ext Order No]],Invoice[Order ID],Invoice[AWB Code])</f>
        <v>1091117229555</v>
      </c>
      <c r="Y107" s="4">
        <f>((Table8[[#This Row],[Courirer Price ]]-Table8[[#This Row],[Expected Price]])/Table8[[#This Row],[Expected Price]])*100</f>
        <v>37.575757575757571</v>
      </c>
      <c r="Z107" s="4" t="str">
        <f>IF(Table8[[#This Row],[%change]]&gt;0,"Over Charged",IF(Table8[[#This Row],[%change]]=0,"Perfectly Charged",IF(Table8[[#This Row],[%change]]&lt;0,"Under Charged")))</f>
        <v>Over Charged</v>
      </c>
    </row>
    <row r="108" spans="1:26" x14ac:dyDescent="0.3">
      <c r="A108">
        <v>2001811466</v>
      </c>
      <c r="B108" t="s">
        <v>62</v>
      </c>
      <c r="C108">
        <v>1</v>
      </c>
      <c r="D108">
        <f>_xlfn.XLOOKUP(Order_Report[[#This Row],[SKU]],SKU_Master[SKU],SKU_Master[Weight (g)],"not found")</f>
        <v>240</v>
      </c>
      <c r="E108">
        <f>Order_Report[[#This Row],[order weight ]]*Order_Report[[#This Row],[Order Qty]]</f>
        <v>240</v>
      </c>
      <c r="N108" s="1">
        <v>2001806652</v>
      </c>
      <c r="O108">
        <f>SUMIFS(Order_Report[_total weight ],Order_Report[ExternOrderNo],$N108)</f>
        <v>500</v>
      </c>
      <c r="P108">
        <f>CEILING(Table8[[#This Row],[Total weight ]],0.5)</f>
        <v>500</v>
      </c>
      <c r="Q108" t="str">
        <f>_xlfn.XLOOKUP(Table8[[#This Row],[Ext Order No]],Invoice[Order ID],Invoice[Zone])</f>
        <v>d</v>
      </c>
      <c r="R108" t="str">
        <f>IF(pincodes[[#Headers],[Matching status]]="matched",'(abc)pincodes'!C107,'(abc)pincodes'!C107)</f>
        <v>b</v>
      </c>
      <c r="S108" t="str">
        <f>_xlfn.XLOOKUP(Table8[[#This Row],[ABC area ]],Invoice[Zone],Invoice[Type of Shipment])</f>
        <v>Forward charges</v>
      </c>
      <c r="T108" t="s">
        <v>119</v>
      </c>
      <c r="V108">
        <f>_xlfn.XLOOKUP(Table8[[#This Row],[Ext Order No]],Invoice[Order ID],Invoice[Billing Amount (Rs.)],"not found")</f>
        <v>90.2</v>
      </c>
      <c r="W108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8">
        <f>_xlfn.XLOOKUP(Table8[[#This Row],[Ext Order No]],Invoice[Order ID],Invoice[AWB Code])</f>
        <v>1091117226221</v>
      </c>
      <c r="Y108" s="4">
        <f>((Table8[[#This Row],[Courirer Price ]]-Table8[[#This Row],[Expected Price]])/Table8[[#This Row],[Expected Price]])*100</f>
        <v>173.33333333333334</v>
      </c>
      <c r="Z108" s="4" t="str">
        <f>IF(Table8[[#This Row],[%change]]&gt;0,"Over Charged",IF(Table8[[#This Row],[%change]]=0,"Perfectly Charged",IF(Table8[[#This Row],[%change]]&lt;0,"Under Charged")))</f>
        <v>Over Charged</v>
      </c>
    </row>
    <row r="109" spans="1:26" x14ac:dyDescent="0.3">
      <c r="A109">
        <v>2001811363</v>
      </c>
      <c r="B109" t="s">
        <v>7</v>
      </c>
      <c r="C109">
        <v>1</v>
      </c>
      <c r="D109">
        <f>_xlfn.XLOOKUP(Order_Report[[#This Row],[SKU]],SKU_Master[SKU],SKU_Master[Weight (g)],"not found")</f>
        <v>165</v>
      </c>
      <c r="E109">
        <f>Order_Report[[#This Row],[order weight ]]*Order_Report[[#This Row],[Order Qty]]</f>
        <v>165</v>
      </c>
      <c r="N109" s="2">
        <v>2001806616</v>
      </c>
      <c r="O109">
        <f>SUMIFS(Order_Report[_total weight ],Order_Report[ExternOrderNo],$N109)</f>
        <v>963</v>
      </c>
      <c r="P109">
        <f>CEILING(Table8[[#This Row],[Total weight ]],0.5)</f>
        <v>963</v>
      </c>
      <c r="Q109" t="str">
        <f>_xlfn.XLOOKUP(Table8[[#This Row],[Ext Order No]],Invoice[Order ID],Invoice[Zone])</f>
        <v>b</v>
      </c>
      <c r="R109" t="str">
        <f>IF(pincodes[[#Headers],[Matching status]]="matched",'(abc)pincodes'!C108,'(abc)pincodes'!C108)</f>
        <v>b</v>
      </c>
      <c r="S109" t="str">
        <f>_xlfn.XLOOKUP(Table8[[#This Row],[ABC area ]],Invoice[Zone],Invoice[Type of Shipment])</f>
        <v>Forward charges</v>
      </c>
      <c r="T109" t="s">
        <v>119</v>
      </c>
      <c r="V109">
        <f>_xlfn.XLOOKUP(Table8[[#This Row],[Ext Order No]],Invoice[Order ID],Invoice[Billing Amount (Rs.)],"not found")</f>
        <v>89.6</v>
      </c>
      <c r="W109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09">
        <f>_xlfn.XLOOKUP(Table8[[#This Row],[Ext Order No]],Invoice[Order ID],Invoice[AWB Code])</f>
        <v>1091117225484</v>
      </c>
      <c r="Y109" s="4">
        <f>((Table8[[#This Row],[Courirer Price ]]-Table8[[#This Row],[Expected Price]])/Table8[[#This Row],[Expected Price]])*100</f>
        <v>171.5151515151515</v>
      </c>
      <c r="Z109" s="4" t="str">
        <f>IF(Table8[[#This Row],[%change]]&gt;0,"Over Charged",IF(Table8[[#This Row],[%change]]=0,"Perfectly Charged",IF(Table8[[#This Row],[%change]]&lt;0,"Under Charged")))</f>
        <v>Over Charged</v>
      </c>
    </row>
    <row r="110" spans="1:26" x14ac:dyDescent="0.3">
      <c r="A110">
        <v>2001811363</v>
      </c>
      <c r="B110" t="s">
        <v>29</v>
      </c>
      <c r="C110">
        <v>1</v>
      </c>
      <c r="D110">
        <f>_xlfn.XLOOKUP(Order_Report[[#This Row],[SKU]],SKU_Master[SKU],SKU_Master[Weight (g)],"not found")</f>
        <v>113</v>
      </c>
      <c r="E110">
        <f>Order_Report[[#This Row],[order weight ]]*Order_Report[[#This Row],[Order Qty]]</f>
        <v>113</v>
      </c>
      <c r="N110" s="2">
        <v>2001806575</v>
      </c>
      <c r="O110">
        <f>SUMIFS(Order_Report[_total weight ],Order_Report[ExternOrderNo],$N110)</f>
        <v>500</v>
      </c>
      <c r="P110">
        <f>CEILING(Table8[[#This Row],[Total weight ]],0.5)</f>
        <v>500</v>
      </c>
      <c r="Q110" t="str">
        <f>_xlfn.XLOOKUP(Table8[[#This Row],[Ext Order No]],Invoice[Order ID],Invoice[Zone])</f>
        <v>b</v>
      </c>
      <c r="R110" t="str">
        <f>IF(pincodes[[#Headers],[Matching status]]="matched",'(abc)pincodes'!C109,'(abc)pincodes'!C109)</f>
        <v>b</v>
      </c>
      <c r="S110" t="str">
        <f>_xlfn.XLOOKUP(Table8[[#This Row],[ABC area ]],Invoice[Zone],Invoice[Type of Shipment])</f>
        <v>Forward charges</v>
      </c>
      <c r="T110" t="s">
        <v>119</v>
      </c>
      <c r="V110">
        <f>_xlfn.XLOOKUP(Table8[[#This Row],[Ext Order No]],Invoice[Order ID],Invoice[Billing Amount (Rs.)],"not found")</f>
        <v>61.3</v>
      </c>
      <c r="W110">
        <f>IF(AND(Table8[[#This Row],[Shipment short_1]]="fwd",Table8[[#This Row],[ABC area ]]="d"),'Courier Company - Rates'!G$8,IF(AND(Table8[[#This Row],[Shipment short_1]]="fwd",Table8[[#This Row],[ABC area ]]="b"),'Courier Company - Rates'!G$7))</f>
        <v>33</v>
      </c>
      <c r="X110">
        <f>_xlfn.XLOOKUP(Table8[[#This Row],[Ext Order No]],Invoice[Order ID],Invoice[AWB Code])</f>
        <v>1091117225016</v>
      </c>
      <c r="Y110" s="4">
        <f>((Table8[[#This Row],[Courirer Price ]]-Table8[[#This Row],[Expected Price]])/Table8[[#This Row],[Expected Price]])*100</f>
        <v>85.757575757575751</v>
      </c>
      <c r="Z110" s="4" t="str">
        <f>IF(Table8[[#This Row],[%change]]&gt;0,"Over Charged",IF(Table8[[#This Row],[%change]]=0,"Perfectly Charged",IF(Table8[[#This Row],[%change]]&lt;0,"Under Charged")))</f>
        <v>Over Charged</v>
      </c>
    </row>
    <row r="111" spans="1:26" x14ac:dyDescent="0.3">
      <c r="A111">
        <v>2001811363</v>
      </c>
      <c r="B111" t="s">
        <v>9</v>
      </c>
      <c r="C111">
        <v>1</v>
      </c>
      <c r="D111">
        <f>_xlfn.XLOOKUP(Order_Report[[#This Row],[SKU]],SKU_Master[SKU],SKU_Master[Weight (g)],"not found")</f>
        <v>65</v>
      </c>
      <c r="E111">
        <f>Order_Report[[#This Row],[order weight ]]*Order_Report[[#This Row],[Order Qty]]</f>
        <v>65</v>
      </c>
      <c r="N111" s="1">
        <v>2001806567</v>
      </c>
      <c r="O111">
        <f>SUMIFS(Order_Report[_total weight ],Order_Report[ExternOrderNo],$N111)</f>
        <v>952</v>
      </c>
      <c r="P111">
        <f>CEILING(Table8[[#This Row],[Total weight ]],0.5)</f>
        <v>952</v>
      </c>
      <c r="Q111" t="str">
        <f>_xlfn.XLOOKUP(Table8[[#This Row],[Ext Order No]],Invoice[Order ID],Invoice[Zone])</f>
        <v>d</v>
      </c>
      <c r="R111">
        <f>IF(pincodes[[#Headers],[Matching status]]="matched",'(abc)pincodes'!C110,'(abc)pincodes'!C110)</f>
        <v>0</v>
      </c>
      <c r="S111" t="e">
        <f>_xlfn.XLOOKUP(Table8[[#This Row],[ABC area ]],Invoice[Zone],Invoice[Type of Shipment])</f>
        <v>#N/A</v>
      </c>
      <c r="V111">
        <f>_xlfn.XLOOKUP(Table8[[#This Row],[Ext Order No]],Invoice[Order ID],Invoice[Billing Amount (Rs.)],"not found")</f>
        <v>135</v>
      </c>
      <c r="W111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1">
        <f>_xlfn.XLOOKUP(Table8[[#This Row],[Ext Order No]],Invoice[Order ID],Invoice[AWB Code])</f>
        <v>1091117224902</v>
      </c>
      <c r="Y111" s="4" t="e">
        <f>((Table8[[#This Row],[Courirer Price ]]-Table8[[#This Row],[Expected Price]])/Table8[[#This Row],[Expected Price]])*100</f>
        <v>#DIV/0!</v>
      </c>
      <c r="Z111" s="4" t="e">
        <f>IF(Table8[[#This Row],[%change]]&gt;0,"Over Charged",IF(Table8[[#This Row],[%change]]=0,"Perfectly Charged",IF(Table8[[#This Row],[%change]]&lt;0,"Under Charged")))</f>
        <v>#DIV/0!</v>
      </c>
    </row>
    <row r="112" spans="1:26" x14ac:dyDescent="0.3">
      <c r="A112">
        <v>2001811306</v>
      </c>
      <c r="B112" t="s">
        <v>50</v>
      </c>
      <c r="C112">
        <v>1</v>
      </c>
      <c r="D112">
        <f>_xlfn.XLOOKUP(Order_Report[[#This Row],[SKU]],SKU_Master[SKU],SKU_Master[Weight (g)],"not found")</f>
        <v>165</v>
      </c>
      <c r="E112">
        <f>Order_Report[[#This Row],[order weight ]]*Order_Report[[#This Row],[Order Qty]]</f>
        <v>165</v>
      </c>
      <c r="N112" s="1">
        <v>2001806547</v>
      </c>
      <c r="O112">
        <f>SUMIFS(Order_Report[_total weight ],Order_Report[ExternOrderNo],$N112)</f>
        <v>127</v>
      </c>
      <c r="P112">
        <f>CEILING(Table8[[#This Row],[Total weight ]],0.5)</f>
        <v>127</v>
      </c>
      <c r="Q112" t="str">
        <f>_xlfn.XLOOKUP(Table8[[#This Row],[Ext Order No]],Invoice[Order ID],Invoice[Zone])</f>
        <v>b</v>
      </c>
      <c r="R112">
        <f>IF(pincodes[[#Headers],[Matching status]]="matched",'(abc)pincodes'!C111,'(abc)pincodes'!C111)</f>
        <v>0</v>
      </c>
      <c r="S112" t="e">
        <f>_xlfn.XLOOKUP(Table8[[#This Row],[ABC area ]],Invoice[Zone],Invoice[Type of Shipment])</f>
        <v>#N/A</v>
      </c>
      <c r="V112">
        <f>_xlfn.XLOOKUP(Table8[[#This Row],[Ext Order No]],Invoice[Order ID],Invoice[Billing Amount (Rs.)],"not found")</f>
        <v>61.3</v>
      </c>
      <c r="W112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2">
        <f>_xlfn.XLOOKUP(Table8[[#This Row],[Ext Order No]],Invoice[Order ID],Invoice[AWB Code])</f>
        <v>1091117224611</v>
      </c>
      <c r="Y112" s="4" t="e">
        <f>((Table8[[#This Row],[Courirer Price ]]-Table8[[#This Row],[Expected Price]])/Table8[[#This Row],[Expected Price]])*100</f>
        <v>#DIV/0!</v>
      </c>
      <c r="Z112" s="4" t="e">
        <f>IF(Table8[[#This Row],[%change]]&gt;0,"Over Charged",IF(Table8[[#This Row],[%change]]=0,"Perfectly Charged",IF(Table8[[#This Row],[%change]]&lt;0,"Under Charged")))</f>
        <v>#DIV/0!</v>
      </c>
    </row>
    <row r="113" spans="1:26" x14ac:dyDescent="0.3">
      <c r="A113">
        <v>2001811306</v>
      </c>
      <c r="B113" t="s">
        <v>69</v>
      </c>
      <c r="C113">
        <v>1</v>
      </c>
      <c r="D113">
        <f>_xlfn.XLOOKUP(Order_Report[[#This Row],[SKU]],SKU_Master[SKU],SKU_Master[Weight (g)],"not found")</f>
        <v>300</v>
      </c>
      <c r="E113">
        <f>Order_Report[[#This Row],[order weight ]]*Order_Report[[#This Row],[Order Qty]]</f>
        <v>300</v>
      </c>
      <c r="N113" s="2">
        <v>2001806533</v>
      </c>
      <c r="O113">
        <f>SUMIFS(Order_Report[_total weight ],Order_Report[ExternOrderNo],$N113)</f>
        <v>500</v>
      </c>
      <c r="P113">
        <f>CEILING(Table8[[#This Row],[Total weight ]],0.5)</f>
        <v>500</v>
      </c>
      <c r="Q113" t="str">
        <f>_xlfn.XLOOKUP(Table8[[#This Row],[Ext Order No]],Invoice[Order ID],Invoice[Zone])</f>
        <v>d</v>
      </c>
      <c r="R113">
        <f>IF(pincodes[[#Headers],[Matching status]]="matched",'(abc)pincodes'!C112,'(abc)pincodes'!C112)</f>
        <v>0</v>
      </c>
      <c r="S113" t="e">
        <f>_xlfn.XLOOKUP(Table8[[#This Row],[ABC area ]],Invoice[Zone],Invoice[Type of Shipment])</f>
        <v>#N/A</v>
      </c>
      <c r="V113">
        <f>_xlfn.XLOOKUP(Table8[[#This Row],[Ext Order No]],Invoice[Order ID],Invoice[Billing Amount (Rs.)],"not found")</f>
        <v>90.2</v>
      </c>
      <c r="W113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3">
        <f>_xlfn.XLOOKUP(Table8[[#This Row],[Ext Order No]],Invoice[Order ID],Invoice[AWB Code])</f>
        <v>1091117224353</v>
      </c>
      <c r="Y113" s="4" t="e">
        <f>((Table8[[#This Row],[Courirer Price ]]-Table8[[#This Row],[Expected Price]])/Table8[[#This Row],[Expected Price]])*100</f>
        <v>#DIV/0!</v>
      </c>
      <c r="Z113" s="4" t="e">
        <f>IF(Table8[[#This Row],[%change]]&gt;0,"Over Charged",IF(Table8[[#This Row],[%change]]=0,"Perfectly Charged",IF(Table8[[#This Row],[%change]]&lt;0,"Under Charged")))</f>
        <v>#DIV/0!</v>
      </c>
    </row>
    <row r="114" spans="1:26" x14ac:dyDescent="0.3">
      <c r="A114">
        <v>2001811306</v>
      </c>
      <c r="B114" t="s">
        <v>43</v>
      </c>
      <c r="C114">
        <v>1</v>
      </c>
      <c r="D114">
        <f>_xlfn.XLOOKUP(Order_Report[[#This Row],[SKU]],SKU_Master[SKU],SKU_Master[Weight (g)],"not found")</f>
        <v>240</v>
      </c>
      <c r="E114">
        <f>Order_Report[[#This Row],[order weight ]]*Order_Report[[#This Row],[Order Qty]]</f>
        <v>240</v>
      </c>
      <c r="N114" s="1">
        <v>2001806471</v>
      </c>
      <c r="O114">
        <f>SUMIFS(Order_Report[_total weight ],Order_Report[ExternOrderNo],$N114)</f>
        <v>1621</v>
      </c>
      <c r="P114">
        <f>CEILING(Table8[[#This Row],[Total weight ]],0.5)</f>
        <v>1621</v>
      </c>
      <c r="Q114" t="str">
        <f>_xlfn.XLOOKUP(Table8[[#This Row],[Ext Order No]],Invoice[Order ID],Invoice[Zone])</f>
        <v>d</v>
      </c>
      <c r="R114">
        <f>IF(pincodes[[#Headers],[Matching status]]="matched",'(abc)pincodes'!C113,'(abc)pincodes'!C113)</f>
        <v>0</v>
      </c>
      <c r="S114" t="e">
        <f>_xlfn.XLOOKUP(Table8[[#This Row],[ABC area ]],Invoice[Zone],Invoice[Type of Shipment])</f>
        <v>#N/A</v>
      </c>
      <c r="V114">
        <f>_xlfn.XLOOKUP(Table8[[#This Row],[Ext Order No]],Invoice[Order ID],Invoice[Billing Amount (Rs.)],"not found")</f>
        <v>179.8</v>
      </c>
      <c r="W114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4">
        <f>_xlfn.XLOOKUP(Table8[[#This Row],[Ext Order No]],Invoice[Order ID],Invoice[AWB Code])</f>
        <v>1091117223351</v>
      </c>
      <c r="Y114" s="4" t="e">
        <f>((Table8[[#This Row],[Courirer Price ]]-Table8[[#This Row],[Expected Price]])/Table8[[#This Row],[Expected Price]])*100</f>
        <v>#DIV/0!</v>
      </c>
      <c r="Z114" s="4" t="e">
        <f>IF(Table8[[#This Row],[%change]]&gt;0,"Over Charged",IF(Table8[[#This Row],[%change]]=0,"Perfectly Charged",IF(Table8[[#This Row],[%change]]&lt;0,"Under Charged")))</f>
        <v>#DIV/0!</v>
      </c>
    </row>
    <row r="115" spans="1:26" x14ac:dyDescent="0.3">
      <c r="A115">
        <v>2001811306</v>
      </c>
      <c r="B115" t="s">
        <v>62</v>
      </c>
      <c r="C115">
        <v>1</v>
      </c>
      <c r="D115">
        <f>_xlfn.XLOOKUP(Order_Report[[#This Row],[SKU]],SKU_Master[SKU],SKU_Master[Weight (g)],"not found")</f>
        <v>240</v>
      </c>
      <c r="E115">
        <f>Order_Report[[#This Row],[order weight ]]*Order_Report[[#This Row],[Order Qty]]</f>
        <v>240</v>
      </c>
      <c r="N115" s="2">
        <v>2001806458</v>
      </c>
      <c r="O115">
        <f>SUMIFS(Order_Report[_total weight ],Order_Report[ExternOrderNo],$N115)</f>
        <v>700</v>
      </c>
      <c r="P115">
        <f>CEILING(Table8[[#This Row],[Total weight ]],0.5)</f>
        <v>700</v>
      </c>
      <c r="Q115" t="str">
        <f>_xlfn.XLOOKUP(Table8[[#This Row],[Ext Order No]],Invoice[Order ID],Invoice[Zone])</f>
        <v>b</v>
      </c>
      <c r="R115">
        <f>IF(pincodes[[#Headers],[Matching status]]="matched",'(abc)pincodes'!C114,'(abc)pincodes'!C114)</f>
        <v>0</v>
      </c>
      <c r="S115" t="e">
        <f>_xlfn.XLOOKUP(Table8[[#This Row],[ABC area ]],Invoice[Zone],Invoice[Type of Shipment])</f>
        <v>#N/A</v>
      </c>
      <c r="V115">
        <f>_xlfn.XLOOKUP(Table8[[#This Row],[Ext Order No]],Invoice[Order ID],Invoice[Billing Amount (Rs.)],"not found")</f>
        <v>61.3</v>
      </c>
      <c r="W115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5">
        <f>_xlfn.XLOOKUP(Table8[[#This Row],[Ext Order No]],Invoice[Order ID],Invoice[AWB Code])</f>
        <v>1091117223244</v>
      </c>
      <c r="Y115" s="4" t="e">
        <f>((Table8[[#This Row],[Courirer Price ]]-Table8[[#This Row],[Expected Price]])/Table8[[#This Row],[Expected Price]])*100</f>
        <v>#DIV/0!</v>
      </c>
      <c r="Z115" s="4" t="e">
        <f>IF(Table8[[#This Row],[%change]]&gt;0,"Over Charged",IF(Table8[[#This Row],[%change]]=0,"Perfectly Charged",IF(Table8[[#This Row],[%change]]&lt;0,"Under Charged")))</f>
        <v>#DIV/0!</v>
      </c>
    </row>
    <row r="116" spans="1:26" x14ac:dyDescent="0.3">
      <c r="A116">
        <v>2001811305</v>
      </c>
      <c r="B116" t="s">
        <v>10</v>
      </c>
      <c r="C116">
        <v>1</v>
      </c>
      <c r="D116">
        <f>_xlfn.XLOOKUP(Order_Report[[#This Row],[SKU]],SKU_Master[SKU],SKU_Master[Weight (g)],"not found")</f>
        <v>120</v>
      </c>
      <c r="E116">
        <f>Order_Report[[#This Row],[order weight ]]*Order_Report[[#This Row],[Order Qty]]</f>
        <v>120</v>
      </c>
      <c r="N116" s="2">
        <v>2001806446</v>
      </c>
      <c r="O116">
        <f>SUMIFS(Order_Report[_total weight ],Order_Report[ExternOrderNo],$N116)</f>
        <v>500</v>
      </c>
      <c r="P116">
        <f>CEILING(Table8[[#This Row],[Total weight ]],0.5)</f>
        <v>500</v>
      </c>
      <c r="Q116" t="str">
        <f>_xlfn.XLOOKUP(Table8[[#This Row],[Ext Order No]],Invoice[Order ID],Invoice[Zone])</f>
        <v>d</v>
      </c>
      <c r="R116">
        <f>IF(pincodes[[#Headers],[Matching status]]="matched",'(abc)pincodes'!C115,'(abc)pincodes'!C115)</f>
        <v>0</v>
      </c>
      <c r="S116" t="e">
        <f>_xlfn.XLOOKUP(Table8[[#This Row],[ABC area ]],Invoice[Zone],Invoice[Type of Shipment])</f>
        <v>#N/A</v>
      </c>
      <c r="V116">
        <f>_xlfn.XLOOKUP(Table8[[#This Row],[Ext Order No]],Invoice[Order ID],Invoice[Billing Amount (Rs.)],"not found")</f>
        <v>90.2</v>
      </c>
      <c r="W116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6">
        <f>_xlfn.XLOOKUP(Table8[[#This Row],[Ext Order No]],Invoice[Order ID],Invoice[AWB Code])</f>
        <v>1091117223211</v>
      </c>
      <c r="Y116" s="4" t="e">
        <f>((Table8[[#This Row],[Courirer Price ]]-Table8[[#This Row],[Expected Price]])/Table8[[#This Row],[Expected Price]])*100</f>
        <v>#DIV/0!</v>
      </c>
      <c r="Z116" s="4" t="e">
        <f>IF(Table8[[#This Row],[%change]]&gt;0,"Over Charged",IF(Table8[[#This Row],[%change]]=0,"Perfectly Charged",IF(Table8[[#This Row],[%change]]&lt;0,"Under Charged")))</f>
        <v>#DIV/0!</v>
      </c>
    </row>
    <row r="117" spans="1:26" x14ac:dyDescent="0.3">
      <c r="A117">
        <v>2001811305</v>
      </c>
      <c r="B117" t="s">
        <v>67</v>
      </c>
      <c r="C117">
        <v>1</v>
      </c>
      <c r="D117">
        <f>_xlfn.XLOOKUP(Order_Report[[#This Row],[SKU]],SKU_Master[SKU],SKU_Master[Weight (g)],"not found")</f>
        <v>210</v>
      </c>
      <c r="E117">
        <f>Order_Report[[#This Row],[order weight ]]*Order_Report[[#This Row],[Order Qty]]</f>
        <v>210</v>
      </c>
      <c r="N117" s="1">
        <v>2001806408</v>
      </c>
      <c r="O117">
        <f>SUMIFS(Order_Report[_total weight ],Order_Report[ExternOrderNo],$N117)</f>
        <v>2265</v>
      </c>
      <c r="P117">
        <f>CEILING(Table8[[#This Row],[Total weight ]],0.5)</f>
        <v>2265</v>
      </c>
      <c r="Q117" t="str">
        <f>_xlfn.XLOOKUP(Table8[[#This Row],[Ext Order No]],Invoice[Order ID],Invoice[Zone])</f>
        <v>d</v>
      </c>
      <c r="R117">
        <f>IF(pincodes[[#Headers],[Matching status]]="matched",'(abc)pincodes'!C116,'(abc)pincodes'!C116)</f>
        <v>0</v>
      </c>
      <c r="S117" t="e">
        <f>_xlfn.XLOOKUP(Table8[[#This Row],[ABC area ]],Invoice[Zone],Invoice[Type of Shipment])</f>
        <v>#N/A</v>
      </c>
      <c r="V117">
        <f>_xlfn.XLOOKUP(Table8[[#This Row],[Ext Order No]],Invoice[Order ID],Invoice[Billing Amount (Rs.)],"not found")</f>
        <v>224.6</v>
      </c>
      <c r="W117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7">
        <f>_xlfn.XLOOKUP(Table8[[#This Row],[Ext Order No]],Invoice[Order ID],Invoice[AWB Code])</f>
        <v>1091117222931</v>
      </c>
      <c r="Y117" s="4" t="e">
        <f>((Table8[[#This Row],[Courirer Price ]]-Table8[[#This Row],[Expected Price]])/Table8[[#This Row],[Expected Price]])*100</f>
        <v>#DIV/0!</v>
      </c>
      <c r="Z117" s="4" t="e">
        <f>IF(Table8[[#This Row],[%change]]&gt;0,"Over Charged",IF(Table8[[#This Row],[%change]]=0,"Perfectly Charged",IF(Table8[[#This Row],[%change]]&lt;0,"Under Charged")))</f>
        <v>#DIV/0!</v>
      </c>
    </row>
    <row r="118" spans="1:26" x14ac:dyDescent="0.3">
      <c r="A118">
        <v>2001811305</v>
      </c>
      <c r="B118" t="s">
        <v>66</v>
      </c>
      <c r="C118">
        <v>1</v>
      </c>
      <c r="D118">
        <f>_xlfn.XLOOKUP(Order_Report[[#This Row],[SKU]],SKU_Master[SKU],SKU_Master[Weight (g)],"not found")</f>
        <v>210</v>
      </c>
      <c r="E118">
        <f>Order_Report[[#This Row],[order weight ]]*Order_Report[[#This Row],[Order Qty]]</f>
        <v>210</v>
      </c>
      <c r="N118" s="1">
        <v>2001806338</v>
      </c>
      <c r="O118">
        <f>SUMIFS(Order_Report[_total weight ],Order_Report[ExternOrderNo],$N118)</f>
        <v>500</v>
      </c>
      <c r="P118">
        <f>CEILING(Table8[[#This Row],[Total weight ]],0.5)</f>
        <v>500</v>
      </c>
      <c r="Q118" t="str">
        <f>_xlfn.XLOOKUP(Table8[[#This Row],[Ext Order No]],Invoice[Order ID],Invoice[Zone])</f>
        <v>d</v>
      </c>
      <c r="R118">
        <f>IF(pincodes[[#Headers],[Matching status]]="matched",'(abc)pincodes'!C117,'(abc)pincodes'!C117)</f>
        <v>0</v>
      </c>
      <c r="S118" t="e">
        <f>_xlfn.XLOOKUP(Table8[[#This Row],[ABC area ]],Invoice[Zone],Invoice[Type of Shipment])</f>
        <v>#N/A</v>
      </c>
      <c r="V118">
        <f>_xlfn.XLOOKUP(Table8[[#This Row],[Ext Order No]],Invoice[Order ID],Invoice[Billing Amount (Rs.)],"not found")</f>
        <v>90.2</v>
      </c>
      <c r="W118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8">
        <f>_xlfn.XLOOKUP(Table8[[#This Row],[Ext Order No]],Invoice[Order ID],Invoice[AWB Code])</f>
        <v>1091117222570</v>
      </c>
      <c r="Y118" s="4" t="e">
        <f>((Table8[[#This Row],[Courirer Price ]]-Table8[[#This Row],[Expected Price]])/Table8[[#This Row],[Expected Price]])*100</f>
        <v>#DIV/0!</v>
      </c>
      <c r="Z118" s="4" t="e">
        <f>IF(Table8[[#This Row],[%change]]&gt;0,"Over Charged",IF(Table8[[#This Row],[%change]]=0,"Perfectly Charged",IF(Table8[[#This Row],[%change]]&lt;0,"Under Charged")))</f>
        <v>#DIV/0!</v>
      </c>
    </row>
    <row r="119" spans="1:26" x14ac:dyDescent="0.3">
      <c r="A119">
        <v>2001811305</v>
      </c>
      <c r="B119" t="s">
        <v>68</v>
      </c>
      <c r="C119">
        <v>1</v>
      </c>
      <c r="D119">
        <f>_xlfn.XLOOKUP(Order_Report[[#This Row],[SKU]],SKU_Master[SKU],SKU_Master[Weight (g)],"not found")</f>
        <v>210</v>
      </c>
      <c r="E119">
        <f>Order_Report[[#This Row],[order weight ]]*Order_Report[[#This Row],[Order Qty]]</f>
        <v>210</v>
      </c>
      <c r="N119" s="2">
        <v>2001806304</v>
      </c>
      <c r="O119">
        <f>SUMIFS(Order_Report[_total weight ],Order_Report[ExternOrderNo],$N119)</f>
        <v>500</v>
      </c>
      <c r="P119">
        <f>CEILING(Table8[[#This Row],[Total weight ]],0.5)</f>
        <v>500</v>
      </c>
      <c r="Q119" t="str">
        <f>_xlfn.XLOOKUP(Table8[[#This Row],[Ext Order No]],Invoice[Order ID],Invoice[Zone])</f>
        <v>d</v>
      </c>
      <c r="R119">
        <f>IF(pincodes[[#Headers],[Matching status]]="matched",'(abc)pincodes'!C118,'(abc)pincodes'!C118)</f>
        <v>0</v>
      </c>
      <c r="S119" t="e">
        <f>_xlfn.XLOOKUP(Table8[[#This Row],[ABC area ]],Invoice[Zone],Invoice[Type of Shipment])</f>
        <v>#N/A</v>
      </c>
      <c r="V119">
        <f>_xlfn.XLOOKUP(Table8[[#This Row],[Ext Order No]],Invoice[Order ID],Invoice[Billing Amount (Rs.)],"not found")</f>
        <v>90.2</v>
      </c>
      <c r="W119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19">
        <f>_xlfn.XLOOKUP(Table8[[#This Row],[Ext Order No]],Invoice[Order ID],Invoice[AWB Code])</f>
        <v>1091117222360</v>
      </c>
      <c r="Y119" s="4" t="e">
        <f>((Table8[[#This Row],[Courirer Price ]]-Table8[[#This Row],[Expected Price]])/Table8[[#This Row],[Expected Price]])*100</f>
        <v>#DIV/0!</v>
      </c>
      <c r="Z119" s="4" t="e">
        <f>IF(Table8[[#This Row],[%change]]&gt;0,"Over Charged",IF(Table8[[#This Row],[%change]]=0,"Perfectly Charged",IF(Table8[[#This Row],[%change]]&lt;0,"Under Charged")))</f>
        <v>#DIV/0!</v>
      </c>
    </row>
    <row r="120" spans="1:26" x14ac:dyDescent="0.3">
      <c r="A120">
        <v>2001811229</v>
      </c>
      <c r="B120" t="s">
        <v>62</v>
      </c>
      <c r="C120">
        <v>1</v>
      </c>
      <c r="D120">
        <f>_xlfn.XLOOKUP(Order_Report[[#This Row],[SKU]],SKU_Master[SKU],SKU_Master[Weight (g)],"not found")</f>
        <v>240</v>
      </c>
      <c r="E120">
        <f>Order_Report[[#This Row],[order weight ]]*Order_Report[[#This Row],[Order Qty]]</f>
        <v>240</v>
      </c>
      <c r="N120" s="1">
        <v>2001806273</v>
      </c>
      <c r="O120">
        <f>SUMIFS(Order_Report[_total weight ],Order_Report[ExternOrderNo],$N120)</f>
        <v>615</v>
      </c>
      <c r="P120">
        <f>CEILING(Table8[[#This Row],[Total weight ]],0.5)</f>
        <v>615</v>
      </c>
      <c r="Q120" t="str">
        <f>_xlfn.XLOOKUP(Table8[[#This Row],[Ext Order No]],Invoice[Order ID],Invoice[Zone])</f>
        <v>d</v>
      </c>
      <c r="R120">
        <f>IF(pincodes[[#Headers],[Matching status]]="matched",'(abc)pincodes'!C119,'(abc)pincodes'!C119)</f>
        <v>0</v>
      </c>
      <c r="S120" t="e">
        <f>_xlfn.XLOOKUP(Table8[[#This Row],[ABC area ]],Invoice[Zone],Invoice[Type of Shipment])</f>
        <v>#N/A</v>
      </c>
      <c r="V120">
        <f>_xlfn.XLOOKUP(Table8[[#This Row],[Ext Order No]],Invoice[Order ID],Invoice[Billing Amount (Rs.)],"not found")</f>
        <v>90.2</v>
      </c>
      <c r="W120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0">
        <f>_xlfn.XLOOKUP(Table8[[#This Row],[Ext Order No]],Invoice[Order ID],Invoice[AWB Code])</f>
        <v>1091117222194</v>
      </c>
      <c r="Y120" s="4" t="e">
        <f>((Table8[[#This Row],[Courirer Price ]]-Table8[[#This Row],[Expected Price]])/Table8[[#This Row],[Expected Price]])*100</f>
        <v>#DIV/0!</v>
      </c>
      <c r="Z120" s="4" t="e">
        <f>IF(Table8[[#This Row],[%change]]&gt;0,"Over Charged",IF(Table8[[#This Row],[%change]]=0,"Perfectly Charged",IF(Table8[[#This Row],[%change]]&lt;0,"Under Charged")))</f>
        <v>#DIV/0!</v>
      </c>
    </row>
    <row r="121" spans="1:26" x14ac:dyDescent="0.3">
      <c r="A121">
        <v>2001811229</v>
      </c>
      <c r="B121" t="s">
        <v>49</v>
      </c>
      <c r="C121">
        <v>1</v>
      </c>
      <c r="D121">
        <f>_xlfn.XLOOKUP(Order_Report[[#This Row],[SKU]],SKU_Master[SKU],SKU_Master[Weight (g)],"not found")</f>
        <v>165</v>
      </c>
      <c r="E121">
        <f>Order_Report[[#This Row],[order weight ]]*Order_Report[[#This Row],[Order Qty]]</f>
        <v>165</v>
      </c>
      <c r="N121" s="1">
        <v>2001806251</v>
      </c>
      <c r="O121">
        <f>SUMIFS(Order_Report[_total weight ],Order_Report[ExternOrderNo],$N121)</f>
        <v>245</v>
      </c>
      <c r="P121">
        <f>CEILING(Table8[[#This Row],[Total weight ]],0.5)</f>
        <v>245</v>
      </c>
      <c r="Q121" t="str">
        <f>_xlfn.XLOOKUP(Table8[[#This Row],[Ext Order No]],Invoice[Order ID],Invoice[Zone])</f>
        <v>d</v>
      </c>
      <c r="R121">
        <f>IF(pincodes[[#Headers],[Matching status]]="matched",'(abc)pincodes'!C120,'(abc)pincodes'!C120)</f>
        <v>0</v>
      </c>
      <c r="S121" t="e">
        <f>_xlfn.XLOOKUP(Table8[[#This Row],[ABC area ]],Invoice[Zone],Invoice[Type of Shipment])</f>
        <v>#N/A</v>
      </c>
      <c r="V121">
        <f>_xlfn.XLOOKUP(Table8[[#This Row],[Ext Order No]],Invoice[Order ID],Invoice[Billing Amount (Rs.)],"not found")</f>
        <v>135</v>
      </c>
      <c r="W121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1">
        <f>_xlfn.XLOOKUP(Table8[[#This Row],[Ext Order No]],Invoice[Order ID],Invoice[AWB Code])</f>
        <v>1091117222146</v>
      </c>
      <c r="Y121" s="4" t="e">
        <f>((Table8[[#This Row],[Courirer Price ]]-Table8[[#This Row],[Expected Price]])/Table8[[#This Row],[Expected Price]])*100</f>
        <v>#DIV/0!</v>
      </c>
      <c r="Z121" s="4" t="e">
        <f>IF(Table8[[#This Row],[%change]]&gt;0,"Over Charged",IF(Table8[[#This Row],[%change]]=0,"Perfectly Charged",IF(Table8[[#This Row],[%change]]&lt;0,"Under Charged")))</f>
        <v>#DIV/0!</v>
      </c>
    </row>
    <row r="122" spans="1:26" x14ac:dyDescent="0.3">
      <c r="A122">
        <v>2001811229</v>
      </c>
      <c r="B122" t="s">
        <v>32</v>
      </c>
      <c r="C122">
        <v>1</v>
      </c>
      <c r="D122">
        <f>_xlfn.XLOOKUP(Order_Report[[#This Row],[SKU]],SKU_Master[SKU],SKU_Master[Weight (g)],"not found")</f>
        <v>100</v>
      </c>
      <c r="E122">
        <f>Order_Report[[#This Row],[order weight ]]*Order_Report[[#This Row],[Order Qty]]</f>
        <v>100</v>
      </c>
      <c r="N122" s="1">
        <v>2001806233</v>
      </c>
      <c r="O122">
        <f>SUMIFS(Order_Report[_total weight ],Order_Report[ExternOrderNo],$N122)</f>
        <v>245</v>
      </c>
      <c r="P122">
        <f>CEILING(Table8[[#This Row],[Total weight ]],0.5)</f>
        <v>245</v>
      </c>
      <c r="Q122" t="str">
        <f>_xlfn.XLOOKUP(Table8[[#This Row],[Ext Order No]],Invoice[Order ID],Invoice[Zone])</f>
        <v>b</v>
      </c>
      <c r="R122">
        <f>IF(pincodes[[#Headers],[Matching status]]="matched",'(abc)pincodes'!C121,'(abc)pincodes'!C121)</f>
        <v>0</v>
      </c>
      <c r="S122" t="e">
        <f>_xlfn.XLOOKUP(Table8[[#This Row],[ABC area ]],Invoice[Zone],Invoice[Type of Shipment])</f>
        <v>#N/A</v>
      </c>
      <c r="V122">
        <f>_xlfn.XLOOKUP(Table8[[#This Row],[Ext Order No]],Invoice[Order ID],Invoice[Billing Amount (Rs.)],"not found")</f>
        <v>61.3</v>
      </c>
      <c r="W122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2">
        <f>_xlfn.XLOOKUP(Table8[[#This Row],[Ext Order No]],Invoice[Order ID],Invoice[AWB Code])</f>
        <v>1091117222135</v>
      </c>
      <c r="Y122" s="4" t="e">
        <f>((Table8[[#This Row],[Courirer Price ]]-Table8[[#This Row],[Expected Price]])/Table8[[#This Row],[Expected Price]])*100</f>
        <v>#DIV/0!</v>
      </c>
      <c r="Z122" s="4" t="e">
        <f>IF(Table8[[#This Row],[%change]]&gt;0,"Over Charged",IF(Table8[[#This Row],[%change]]=0,"Perfectly Charged",IF(Table8[[#This Row],[%change]]&lt;0,"Under Charged")))</f>
        <v>#DIV/0!</v>
      </c>
    </row>
    <row r="123" spans="1:26" x14ac:dyDescent="0.3">
      <c r="A123">
        <v>2001811192</v>
      </c>
      <c r="B123" t="s">
        <v>10</v>
      </c>
      <c r="C123">
        <v>1</v>
      </c>
      <c r="D123">
        <f>_xlfn.XLOOKUP(Order_Report[[#This Row],[SKU]],SKU_Master[SKU],SKU_Master[Weight (g)],"not found")</f>
        <v>120</v>
      </c>
      <c r="E123">
        <f>Order_Report[[#This Row],[order weight ]]*Order_Report[[#This Row],[Order Qty]]</f>
        <v>120</v>
      </c>
      <c r="N123" s="1">
        <v>2001806232</v>
      </c>
      <c r="O123">
        <f>SUMIFS(Order_Report[_total weight ],Order_Report[ExternOrderNo],$N123)</f>
        <v>1302</v>
      </c>
      <c r="P123">
        <f>CEILING(Table8[[#This Row],[Total weight ]],0.5)</f>
        <v>1302</v>
      </c>
      <c r="Q123" t="str">
        <f>_xlfn.XLOOKUP(Table8[[#This Row],[Ext Order No]],Invoice[Order ID],Invoice[Zone])</f>
        <v>d</v>
      </c>
      <c r="R123">
        <f>IF(pincodes[[#Headers],[Matching status]]="matched",'(abc)pincodes'!C122,'(abc)pincodes'!C122)</f>
        <v>0</v>
      </c>
      <c r="S123" t="e">
        <f>_xlfn.XLOOKUP(Table8[[#This Row],[ABC area ]],Invoice[Zone],Invoice[Type of Shipment])</f>
        <v>#N/A</v>
      </c>
      <c r="V123">
        <f>_xlfn.XLOOKUP(Table8[[#This Row],[Ext Order No]],Invoice[Order ID],Invoice[Billing Amount (Rs.)],"not found")</f>
        <v>135</v>
      </c>
      <c r="W123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3">
        <f>_xlfn.XLOOKUP(Table8[[#This Row],[Ext Order No]],Invoice[Order ID],Invoice[AWB Code])</f>
        <v>1091117222124</v>
      </c>
      <c r="Y123" s="4" t="e">
        <f>((Table8[[#This Row],[Courirer Price ]]-Table8[[#This Row],[Expected Price]])/Table8[[#This Row],[Expected Price]])*100</f>
        <v>#DIV/0!</v>
      </c>
      <c r="Z123" s="4" t="e">
        <f>IF(Table8[[#This Row],[%change]]&gt;0,"Over Charged",IF(Table8[[#This Row],[%change]]=0,"Perfectly Charged",IF(Table8[[#This Row],[%change]]&lt;0,"Under Charged")))</f>
        <v>#DIV/0!</v>
      </c>
    </row>
    <row r="124" spans="1:26" x14ac:dyDescent="0.3">
      <c r="A124">
        <v>2001811192</v>
      </c>
      <c r="B124" t="s">
        <v>32</v>
      </c>
      <c r="C124">
        <v>1</v>
      </c>
      <c r="D124">
        <f>_xlfn.XLOOKUP(Order_Report[[#This Row],[SKU]],SKU_Master[SKU],SKU_Master[Weight (g)],"not found")</f>
        <v>100</v>
      </c>
      <c r="E124">
        <f>Order_Report[[#This Row],[order weight ]]*Order_Report[[#This Row],[Order Qty]]</f>
        <v>100</v>
      </c>
      <c r="N124" s="1">
        <v>2001806229</v>
      </c>
      <c r="O124">
        <f>SUMIFS(Order_Report[_total weight ],Order_Report[ExternOrderNo],$N124)</f>
        <v>500</v>
      </c>
      <c r="P124">
        <f>CEILING(Table8[[#This Row],[Total weight ]],0.5)</f>
        <v>500</v>
      </c>
      <c r="Q124" t="str">
        <f>_xlfn.XLOOKUP(Table8[[#This Row],[Ext Order No]],Invoice[Order ID],Invoice[Zone])</f>
        <v>d</v>
      </c>
      <c r="R124">
        <f>IF(pincodes[[#Headers],[Matching status]]="matched",'(abc)pincodes'!C123,'(abc)pincodes'!C123)</f>
        <v>0</v>
      </c>
      <c r="S124" t="e">
        <f>_xlfn.XLOOKUP(Table8[[#This Row],[ABC area ]],Invoice[Zone],Invoice[Type of Shipment])</f>
        <v>#N/A</v>
      </c>
      <c r="V124">
        <f>_xlfn.XLOOKUP(Table8[[#This Row],[Ext Order No]],Invoice[Order ID],Invoice[Billing Amount (Rs.)],"not found")</f>
        <v>90.2</v>
      </c>
      <c r="W124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4">
        <f>_xlfn.XLOOKUP(Table8[[#This Row],[Ext Order No]],Invoice[Order ID],Invoice[AWB Code])</f>
        <v>1091117222080</v>
      </c>
      <c r="Y124" s="4" t="e">
        <f>((Table8[[#This Row],[Courirer Price ]]-Table8[[#This Row],[Expected Price]])/Table8[[#This Row],[Expected Price]])*100</f>
        <v>#DIV/0!</v>
      </c>
      <c r="Z124" s="4" t="e">
        <f>IF(Table8[[#This Row],[%change]]&gt;0,"Over Charged",IF(Table8[[#This Row],[%change]]=0,"Perfectly Charged",IF(Table8[[#This Row],[%change]]&lt;0,"Under Charged")))</f>
        <v>#DIV/0!</v>
      </c>
    </row>
    <row r="125" spans="1:26" x14ac:dyDescent="0.3">
      <c r="A125">
        <v>2001811192</v>
      </c>
      <c r="B125" t="s">
        <v>45</v>
      </c>
      <c r="C125">
        <v>1</v>
      </c>
      <c r="D125">
        <f>_xlfn.XLOOKUP(Order_Report[[#This Row],[SKU]],SKU_Master[SKU],SKU_Master[Weight (g)],"not found")</f>
        <v>140</v>
      </c>
      <c r="E125">
        <f>Order_Report[[#This Row],[order weight ]]*Order_Report[[#This Row],[Order Qty]]</f>
        <v>140</v>
      </c>
      <c r="N125" s="2">
        <v>2001806226</v>
      </c>
      <c r="O125">
        <f>SUMIFS(Order_Report[_total weight ],Order_Report[ExternOrderNo],$N125)</f>
        <v>480</v>
      </c>
      <c r="P125">
        <f>CEILING(Table8[[#This Row],[Total weight ]],0.5)</f>
        <v>480</v>
      </c>
      <c r="Q125" t="str">
        <f>_xlfn.XLOOKUP(Table8[[#This Row],[Ext Order No]],Invoice[Order ID],Invoice[Zone])</f>
        <v>d</v>
      </c>
      <c r="R125">
        <f>IF(pincodes[[#Headers],[Matching status]]="matched",'(abc)pincodes'!C124,'(abc)pincodes'!C124)</f>
        <v>0</v>
      </c>
      <c r="S125" t="e">
        <f>_xlfn.XLOOKUP(Table8[[#This Row],[ABC area ]],Invoice[Zone],Invoice[Type of Shipment])</f>
        <v>#N/A</v>
      </c>
      <c r="V125">
        <f>_xlfn.XLOOKUP(Table8[[#This Row],[Ext Order No]],Invoice[Order ID],Invoice[Billing Amount (Rs.)],"not found")</f>
        <v>90.2</v>
      </c>
      <c r="W125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5">
        <f>_xlfn.XLOOKUP(Table8[[#This Row],[Ext Order No]],Invoice[Order ID],Invoice[AWB Code])</f>
        <v>1091117222065</v>
      </c>
      <c r="Y125" s="4" t="e">
        <f>((Table8[[#This Row],[Courirer Price ]]-Table8[[#This Row],[Expected Price]])/Table8[[#This Row],[Expected Price]])*100</f>
        <v>#DIV/0!</v>
      </c>
      <c r="Z125" s="4" t="e">
        <f>IF(Table8[[#This Row],[%change]]&gt;0,"Over Charged",IF(Table8[[#This Row],[%change]]=0,"Perfectly Charged",IF(Table8[[#This Row],[%change]]&lt;0,"Under Charged")))</f>
        <v>#DIV/0!</v>
      </c>
    </row>
    <row r="126" spans="1:26" x14ac:dyDescent="0.3">
      <c r="A126">
        <v>2001811192</v>
      </c>
      <c r="B126" t="s">
        <v>54</v>
      </c>
      <c r="C126">
        <v>2</v>
      </c>
      <c r="D126">
        <f>_xlfn.XLOOKUP(Order_Report[[#This Row],[SKU]],SKU_Master[SKU],SKU_Master[Weight (g)],"not found")</f>
        <v>112</v>
      </c>
      <c r="E126">
        <f>Order_Report[[#This Row],[order weight ]]*Order_Report[[#This Row],[Order Qty]]</f>
        <v>224</v>
      </c>
      <c r="N126" s="1">
        <v>2001806210</v>
      </c>
      <c r="O126">
        <f>SUMIFS(Order_Report[_total weight ],Order_Report[ExternOrderNo],$N126)</f>
        <v>220</v>
      </c>
      <c r="P126">
        <f>CEILING(Table8[[#This Row],[Total weight ]],0.5)</f>
        <v>220</v>
      </c>
      <c r="Q126" t="str">
        <f>_xlfn.XLOOKUP(Table8[[#This Row],[Ext Order No]],Invoice[Order ID],Invoice[Zone])</f>
        <v>b</v>
      </c>
      <c r="R126">
        <f>IF(pincodes[[#Headers],[Matching status]]="matched",'(abc)pincodes'!C125,'(abc)pincodes'!C125)</f>
        <v>0</v>
      </c>
      <c r="S126" t="e">
        <f>_xlfn.XLOOKUP(Table8[[#This Row],[ABC area ]],Invoice[Zone],Invoice[Type of Shipment])</f>
        <v>#N/A</v>
      </c>
      <c r="V126">
        <f>_xlfn.XLOOKUP(Table8[[#This Row],[Ext Order No]],Invoice[Order ID],Invoice[Billing Amount (Rs.)],"not found")</f>
        <v>174.5</v>
      </c>
      <c r="W126" t="b">
        <f>IF(AND(Table8[[#This Row],[Shipment short_1]]="fwd",Table8[[#This Row],[ABC area ]]="d"),'Courier Company - Rates'!G$8,IF(AND(Table8[[#This Row],[Shipment short_1]]="fwd",Table8[[#This Row],[ABC area ]]="b"),'Courier Company - Rates'!G$7))</f>
        <v>0</v>
      </c>
      <c r="X126">
        <f>_xlfn.XLOOKUP(Table8[[#This Row],[Ext Order No]],Invoice[Order ID],Invoice[AWB Code])</f>
        <v>1091117221940</v>
      </c>
      <c r="Y126" s="4" t="e">
        <f>((Table8[[#This Row],[Courirer Price ]]-Table8[[#This Row],[Expected Price]])/Table8[[#This Row],[Expected Price]])*100</f>
        <v>#DIV/0!</v>
      </c>
      <c r="Z126" s="4" t="e">
        <f>IF(Table8[[#This Row],[%change]]&gt;0,"Over Charged",IF(Table8[[#This Row],[%change]]=0,"Perfectly Charged",IF(Table8[[#This Row],[%change]]&lt;0,"Under Charged")))</f>
        <v>#DIV/0!</v>
      </c>
    </row>
    <row r="127" spans="1:26" x14ac:dyDescent="0.3">
      <c r="A127">
        <v>2001811192</v>
      </c>
      <c r="B127" t="s">
        <v>36</v>
      </c>
      <c r="C127">
        <v>2</v>
      </c>
      <c r="D127">
        <f>_xlfn.XLOOKUP(Order_Report[[#This Row],[SKU]],SKU_Master[SKU],SKU_Master[Weight (g)],"not found")</f>
        <v>112</v>
      </c>
      <c r="E127">
        <f>Order_Report[[#This Row],[order weight ]]*Order_Report[[#This Row],[Order Qty]]</f>
        <v>224</v>
      </c>
    </row>
    <row r="128" spans="1:26" x14ac:dyDescent="0.3">
      <c r="A128">
        <v>2001811192</v>
      </c>
      <c r="B128" t="s">
        <v>35</v>
      </c>
      <c r="C128">
        <v>2</v>
      </c>
      <c r="D128">
        <f>_xlfn.XLOOKUP(Order_Report[[#This Row],[SKU]],SKU_Master[SKU],SKU_Master[Weight (g)],"not found")</f>
        <v>112</v>
      </c>
      <c r="E128">
        <f>Order_Report[[#This Row],[order weight ]]*Order_Report[[#This Row],[Order Qty]]</f>
        <v>224</v>
      </c>
    </row>
    <row r="129" spans="1:5" x14ac:dyDescent="0.3">
      <c r="A129">
        <v>2001811153</v>
      </c>
      <c r="B129" t="s">
        <v>25</v>
      </c>
      <c r="C129">
        <v>1</v>
      </c>
      <c r="D129">
        <f>_xlfn.XLOOKUP(Order_Report[[#This Row],[SKU]],SKU_Master[SKU],SKU_Master[Weight (g)],"not found")</f>
        <v>127</v>
      </c>
      <c r="E129">
        <f>Order_Report[[#This Row],[order weight ]]*Order_Report[[#This Row],[Order Qty]]</f>
        <v>127</v>
      </c>
    </row>
    <row r="130" spans="1:5" x14ac:dyDescent="0.3">
      <c r="A130">
        <v>2001811153</v>
      </c>
      <c r="B130" t="s">
        <v>30</v>
      </c>
      <c r="C130">
        <v>1</v>
      </c>
      <c r="D130">
        <f>_xlfn.XLOOKUP(Order_Report[[#This Row],[SKU]],SKU_Master[SKU],SKU_Master[Weight (g)],"not found")</f>
        <v>240</v>
      </c>
      <c r="E130">
        <f>Order_Report[[#This Row],[order weight ]]*Order_Report[[#This Row],[Order Qty]]</f>
        <v>240</v>
      </c>
    </row>
    <row r="131" spans="1:5" x14ac:dyDescent="0.3">
      <c r="A131">
        <v>2001811153</v>
      </c>
      <c r="B131" t="s">
        <v>62</v>
      </c>
      <c r="C131">
        <v>1</v>
      </c>
      <c r="D131">
        <f>_xlfn.XLOOKUP(Order_Report[[#This Row],[SKU]],SKU_Master[SKU],SKU_Master[Weight (g)],"not found")</f>
        <v>240</v>
      </c>
      <c r="E131">
        <f>Order_Report[[#This Row],[order weight ]]*Order_Report[[#This Row],[Order Qty]]</f>
        <v>240</v>
      </c>
    </row>
    <row r="132" spans="1:5" x14ac:dyDescent="0.3">
      <c r="A132">
        <v>2001811058</v>
      </c>
      <c r="B132" t="s">
        <v>25</v>
      </c>
      <c r="C132">
        <v>1</v>
      </c>
      <c r="D132">
        <f>_xlfn.XLOOKUP(Order_Report[[#This Row],[SKU]],SKU_Master[SKU],SKU_Master[Weight (g)],"not found")</f>
        <v>127</v>
      </c>
      <c r="E132">
        <f>Order_Report[[#This Row],[order weight ]]*Order_Report[[#This Row],[Order Qty]]</f>
        <v>127</v>
      </c>
    </row>
    <row r="133" spans="1:5" x14ac:dyDescent="0.3">
      <c r="A133">
        <v>2001811058</v>
      </c>
      <c r="B133" t="s">
        <v>34</v>
      </c>
      <c r="C133">
        <v>1</v>
      </c>
      <c r="D133">
        <f>_xlfn.XLOOKUP(Order_Report[[#This Row],[SKU]],SKU_Master[SKU],SKU_Master[Weight (g)],"not found")</f>
        <v>133</v>
      </c>
      <c r="E133">
        <f>Order_Report[[#This Row],[order weight ]]*Order_Report[[#This Row],[Order Qty]]</f>
        <v>133</v>
      </c>
    </row>
    <row r="134" spans="1:5" x14ac:dyDescent="0.3">
      <c r="A134">
        <v>2001811058</v>
      </c>
      <c r="B134" t="s">
        <v>30</v>
      </c>
      <c r="C134">
        <v>1</v>
      </c>
      <c r="D134">
        <f>_xlfn.XLOOKUP(Order_Report[[#This Row],[SKU]],SKU_Master[SKU],SKU_Master[Weight (g)],"not found")</f>
        <v>240</v>
      </c>
      <c r="E134">
        <f>Order_Report[[#This Row],[order weight ]]*Order_Report[[#This Row],[Order Qty]]</f>
        <v>240</v>
      </c>
    </row>
    <row r="135" spans="1:5" x14ac:dyDescent="0.3">
      <c r="A135">
        <v>2001811039</v>
      </c>
      <c r="B135" t="s">
        <v>25</v>
      </c>
      <c r="C135">
        <v>1</v>
      </c>
      <c r="D135">
        <f>_xlfn.XLOOKUP(Order_Report[[#This Row],[SKU]],SKU_Master[SKU],SKU_Master[Weight (g)],"not found")</f>
        <v>127</v>
      </c>
      <c r="E135">
        <f>Order_Report[[#This Row],[order weight ]]*Order_Report[[#This Row],[Order Qty]]</f>
        <v>127</v>
      </c>
    </row>
    <row r="136" spans="1:5" x14ac:dyDescent="0.3">
      <c r="A136">
        <v>2001811039</v>
      </c>
      <c r="B136" t="s">
        <v>24</v>
      </c>
      <c r="C136">
        <v>1</v>
      </c>
      <c r="D136">
        <f>_xlfn.XLOOKUP(Order_Report[[#This Row],[SKU]],SKU_Master[SKU],SKU_Master[Weight (g)],"not found")</f>
        <v>121</v>
      </c>
      <c r="E136">
        <f>Order_Report[[#This Row],[order weight ]]*Order_Report[[#This Row],[Order Qty]]</f>
        <v>121</v>
      </c>
    </row>
    <row r="137" spans="1:5" x14ac:dyDescent="0.3">
      <c r="A137">
        <v>2001811039</v>
      </c>
      <c r="B137" t="s">
        <v>30</v>
      </c>
      <c r="C137">
        <v>1</v>
      </c>
      <c r="D137">
        <f>_xlfn.XLOOKUP(Order_Report[[#This Row],[SKU]],SKU_Master[SKU],SKU_Master[Weight (g)],"not found")</f>
        <v>240</v>
      </c>
      <c r="E137">
        <f>Order_Report[[#This Row],[order weight ]]*Order_Report[[#This Row],[Order Qty]]</f>
        <v>240</v>
      </c>
    </row>
    <row r="138" spans="1:5" x14ac:dyDescent="0.3">
      <c r="A138">
        <v>2001810697</v>
      </c>
      <c r="B138" t="s">
        <v>25</v>
      </c>
      <c r="C138">
        <v>1</v>
      </c>
      <c r="D138">
        <f>_xlfn.XLOOKUP(Order_Report[[#This Row],[SKU]],SKU_Master[SKU],SKU_Master[Weight (g)],"not found")</f>
        <v>127</v>
      </c>
      <c r="E138">
        <f>Order_Report[[#This Row],[order weight ]]*Order_Report[[#This Row],[Order Qty]]</f>
        <v>127</v>
      </c>
    </row>
    <row r="139" spans="1:5" x14ac:dyDescent="0.3">
      <c r="A139">
        <v>2001810697</v>
      </c>
      <c r="B139" t="s">
        <v>30</v>
      </c>
      <c r="C139">
        <v>1</v>
      </c>
      <c r="D139">
        <f>_xlfn.XLOOKUP(Order_Report[[#This Row],[SKU]],SKU_Master[SKU],SKU_Master[Weight (g)],"not found")</f>
        <v>240</v>
      </c>
      <c r="E139">
        <f>Order_Report[[#This Row],[order weight ]]*Order_Report[[#This Row],[Order Qty]]</f>
        <v>240</v>
      </c>
    </row>
    <row r="140" spans="1:5" x14ac:dyDescent="0.3">
      <c r="A140">
        <v>2001810697</v>
      </c>
      <c r="B140" t="s">
        <v>62</v>
      </c>
      <c r="C140">
        <v>1</v>
      </c>
      <c r="D140">
        <f>_xlfn.XLOOKUP(Order_Report[[#This Row],[SKU]],SKU_Master[SKU],SKU_Master[Weight (g)],"not found")</f>
        <v>240</v>
      </c>
      <c r="E140">
        <f>Order_Report[[#This Row],[order weight ]]*Order_Report[[#This Row],[Order Qty]]</f>
        <v>240</v>
      </c>
    </row>
    <row r="141" spans="1:5" x14ac:dyDescent="0.3">
      <c r="A141">
        <v>2001810549</v>
      </c>
      <c r="B141" t="s">
        <v>62</v>
      </c>
      <c r="C141">
        <v>1</v>
      </c>
      <c r="D141">
        <f>_xlfn.XLOOKUP(Order_Report[[#This Row],[SKU]],SKU_Master[SKU],SKU_Master[Weight (g)],"not found")</f>
        <v>240</v>
      </c>
      <c r="E141">
        <f>Order_Report[[#This Row],[order weight ]]*Order_Report[[#This Row],[Order Qty]]</f>
        <v>240</v>
      </c>
    </row>
    <row r="142" spans="1:5" x14ac:dyDescent="0.3">
      <c r="A142">
        <v>2001810549</v>
      </c>
      <c r="B142" t="s">
        <v>28</v>
      </c>
      <c r="C142">
        <v>1</v>
      </c>
      <c r="D142">
        <f>_xlfn.XLOOKUP(Order_Report[[#This Row],[SKU]],SKU_Master[SKU],SKU_Master[Weight (g)],"not found")</f>
        <v>232</v>
      </c>
      <c r="E142">
        <f>Order_Report[[#This Row],[order weight ]]*Order_Report[[#This Row],[Order Qty]]</f>
        <v>232</v>
      </c>
    </row>
    <row r="143" spans="1:5" x14ac:dyDescent="0.3">
      <c r="A143">
        <v>2001810549</v>
      </c>
      <c r="B143" t="s">
        <v>23</v>
      </c>
      <c r="C143">
        <v>1</v>
      </c>
      <c r="D143">
        <f>_xlfn.XLOOKUP(Order_Report[[#This Row],[SKU]],SKU_Master[SKU],SKU_Master[Weight (g)],"not found")</f>
        <v>240</v>
      </c>
      <c r="E143">
        <f>Order_Report[[#This Row],[order weight ]]*Order_Report[[#This Row],[Order Qty]]</f>
        <v>240</v>
      </c>
    </row>
    <row r="144" spans="1:5" x14ac:dyDescent="0.3">
      <c r="A144">
        <v>2001810549</v>
      </c>
      <c r="B144" t="s">
        <v>21</v>
      </c>
      <c r="C144">
        <v>2</v>
      </c>
      <c r="D144">
        <f>_xlfn.XLOOKUP(Order_Report[[#This Row],[SKU]],SKU_Master[SKU],SKU_Master[Weight (g)],"not found")</f>
        <v>137</v>
      </c>
      <c r="E144">
        <f>Order_Report[[#This Row],[order weight ]]*Order_Report[[#This Row],[Order Qty]]</f>
        <v>274</v>
      </c>
    </row>
    <row r="145" spans="1:5" x14ac:dyDescent="0.3">
      <c r="A145">
        <v>2001810281</v>
      </c>
      <c r="B145" t="s">
        <v>25</v>
      </c>
      <c r="C145">
        <v>1</v>
      </c>
      <c r="D145">
        <f>_xlfn.XLOOKUP(Order_Report[[#This Row],[SKU]],SKU_Master[SKU],SKU_Master[Weight (g)],"not found")</f>
        <v>127</v>
      </c>
      <c r="E145">
        <f>Order_Report[[#This Row],[order weight ]]*Order_Report[[#This Row],[Order Qty]]</f>
        <v>127</v>
      </c>
    </row>
    <row r="146" spans="1:5" x14ac:dyDescent="0.3">
      <c r="A146">
        <v>2001810281</v>
      </c>
      <c r="B146" t="s">
        <v>34</v>
      </c>
      <c r="C146">
        <v>1</v>
      </c>
      <c r="D146">
        <f>_xlfn.XLOOKUP(Order_Report[[#This Row],[SKU]],SKU_Master[SKU],SKU_Master[Weight (g)],"not found")</f>
        <v>133</v>
      </c>
      <c r="E146">
        <f>Order_Report[[#This Row],[order weight ]]*Order_Report[[#This Row],[Order Qty]]</f>
        <v>133</v>
      </c>
    </row>
    <row r="147" spans="1:5" x14ac:dyDescent="0.3">
      <c r="A147">
        <v>2001810281</v>
      </c>
      <c r="B147" t="s">
        <v>30</v>
      </c>
      <c r="C147">
        <v>1</v>
      </c>
      <c r="D147">
        <f>_xlfn.XLOOKUP(Order_Report[[#This Row],[SKU]],SKU_Master[SKU],SKU_Master[Weight (g)],"not found")</f>
        <v>240</v>
      </c>
      <c r="E147">
        <f>Order_Report[[#This Row],[order weight ]]*Order_Report[[#This Row],[Order Qty]]</f>
        <v>240</v>
      </c>
    </row>
    <row r="148" spans="1:5" x14ac:dyDescent="0.3">
      <c r="A148">
        <v>2001810125</v>
      </c>
      <c r="B148" t="s">
        <v>25</v>
      </c>
      <c r="C148">
        <v>1</v>
      </c>
      <c r="D148">
        <f>_xlfn.XLOOKUP(Order_Report[[#This Row],[SKU]],SKU_Master[SKU],SKU_Master[Weight (g)],"not found")</f>
        <v>127</v>
      </c>
      <c r="E148">
        <f>Order_Report[[#This Row],[order weight ]]*Order_Report[[#This Row],[Order Qty]]</f>
        <v>127</v>
      </c>
    </row>
    <row r="149" spans="1:5" x14ac:dyDescent="0.3">
      <c r="A149">
        <v>2001810125</v>
      </c>
      <c r="B149" t="s">
        <v>34</v>
      </c>
      <c r="C149">
        <v>1</v>
      </c>
      <c r="D149">
        <f>_xlfn.XLOOKUP(Order_Report[[#This Row],[SKU]],SKU_Master[SKU],SKU_Master[Weight (g)],"not found")</f>
        <v>133</v>
      </c>
      <c r="E149">
        <f>Order_Report[[#This Row],[order weight ]]*Order_Report[[#This Row],[Order Qty]]</f>
        <v>133</v>
      </c>
    </row>
    <row r="150" spans="1:5" x14ac:dyDescent="0.3">
      <c r="A150">
        <v>2001810125</v>
      </c>
      <c r="B150" t="s">
        <v>30</v>
      </c>
      <c r="C150">
        <v>1</v>
      </c>
      <c r="D150">
        <f>_xlfn.XLOOKUP(Order_Report[[#This Row],[SKU]],SKU_Master[SKU],SKU_Master[Weight (g)],"not found")</f>
        <v>240</v>
      </c>
      <c r="E150">
        <f>Order_Report[[#This Row],[order weight ]]*Order_Report[[#This Row],[Order Qty]]</f>
        <v>240</v>
      </c>
    </row>
    <row r="151" spans="1:5" x14ac:dyDescent="0.3">
      <c r="A151">
        <v>2001810104</v>
      </c>
      <c r="B151" t="s">
        <v>30</v>
      </c>
      <c r="C151">
        <v>1</v>
      </c>
      <c r="D151">
        <f>_xlfn.XLOOKUP(Order_Report[[#This Row],[SKU]],SKU_Master[SKU],SKU_Master[Weight (g)],"not found")</f>
        <v>240</v>
      </c>
      <c r="E151">
        <f>Order_Report[[#This Row],[order weight ]]*Order_Report[[#This Row],[Order Qty]]</f>
        <v>240</v>
      </c>
    </row>
    <row r="152" spans="1:5" x14ac:dyDescent="0.3">
      <c r="A152">
        <v>2001810104</v>
      </c>
      <c r="B152" t="s">
        <v>24</v>
      </c>
      <c r="C152">
        <v>1</v>
      </c>
      <c r="D152">
        <f>_xlfn.XLOOKUP(Order_Report[[#This Row],[SKU]],SKU_Master[SKU],SKU_Master[Weight (g)],"not found")</f>
        <v>121</v>
      </c>
      <c r="E152">
        <f>Order_Report[[#This Row],[order weight ]]*Order_Report[[#This Row],[Order Qty]]</f>
        <v>121</v>
      </c>
    </row>
    <row r="153" spans="1:5" x14ac:dyDescent="0.3">
      <c r="A153">
        <v>2001810104</v>
      </c>
      <c r="B153" t="s">
        <v>62</v>
      </c>
      <c r="C153">
        <v>1</v>
      </c>
      <c r="D153">
        <f>_xlfn.XLOOKUP(Order_Report[[#This Row],[SKU]],SKU_Master[SKU],SKU_Master[Weight (g)],"not found")</f>
        <v>240</v>
      </c>
      <c r="E153">
        <f>Order_Report[[#This Row],[order weight ]]*Order_Report[[#This Row],[Order Qty]]</f>
        <v>240</v>
      </c>
    </row>
    <row r="154" spans="1:5" x14ac:dyDescent="0.3">
      <c r="A154">
        <v>2001809934</v>
      </c>
      <c r="B154" t="s">
        <v>30</v>
      </c>
      <c r="C154">
        <v>1</v>
      </c>
      <c r="D154">
        <f>_xlfn.XLOOKUP(Order_Report[[#This Row],[SKU]],SKU_Master[SKU],SKU_Master[Weight (g)],"not found")</f>
        <v>240</v>
      </c>
      <c r="E154">
        <f>Order_Report[[#This Row],[order weight ]]*Order_Report[[#This Row],[Order Qty]]</f>
        <v>240</v>
      </c>
    </row>
    <row r="155" spans="1:5" x14ac:dyDescent="0.3">
      <c r="A155">
        <v>2001809934</v>
      </c>
      <c r="B155" t="s">
        <v>24</v>
      </c>
      <c r="C155">
        <v>1</v>
      </c>
      <c r="D155">
        <f>_xlfn.XLOOKUP(Order_Report[[#This Row],[SKU]],SKU_Master[SKU],SKU_Master[Weight (g)],"not found")</f>
        <v>121</v>
      </c>
      <c r="E155">
        <f>Order_Report[[#This Row],[order weight ]]*Order_Report[[#This Row],[Order Qty]]</f>
        <v>121</v>
      </c>
    </row>
    <row r="156" spans="1:5" x14ac:dyDescent="0.3">
      <c r="A156">
        <v>2001809917</v>
      </c>
      <c r="B156" t="s">
        <v>67</v>
      </c>
      <c r="C156">
        <v>1</v>
      </c>
      <c r="D156">
        <f>_xlfn.XLOOKUP(Order_Report[[#This Row],[SKU]],SKU_Master[SKU],SKU_Master[Weight (g)],"not found")</f>
        <v>210</v>
      </c>
      <c r="E156">
        <f>Order_Report[[#This Row],[order weight ]]*Order_Report[[#This Row],[Order Qty]]</f>
        <v>210</v>
      </c>
    </row>
    <row r="157" spans="1:5" x14ac:dyDescent="0.3">
      <c r="A157">
        <v>2001809917</v>
      </c>
      <c r="B157" t="s">
        <v>66</v>
      </c>
      <c r="C157">
        <v>1</v>
      </c>
      <c r="D157">
        <f>_xlfn.XLOOKUP(Order_Report[[#This Row],[SKU]],SKU_Master[SKU],SKU_Master[Weight (g)],"not found")</f>
        <v>210</v>
      </c>
      <c r="E157">
        <f>Order_Report[[#This Row],[order weight ]]*Order_Report[[#This Row],[Order Qty]]</f>
        <v>210</v>
      </c>
    </row>
    <row r="158" spans="1:5" x14ac:dyDescent="0.3">
      <c r="A158">
        <v>2001809917</v>
      </c>
      <c r="B158" t="s">
        <v>68</v>
      </c>
      <c r="C158">
        <v>1</v>
      </c>
      <c r="D158">
        <f>_xlfn.XLOOKUP(Order_Report[[#This Row],[SKU]],SKU_Master[SKU],SKU_Master[Weight (g)],"not found")</f>
        <v>210</v>
      </c>
      <c r="E158">
        <f>Order_Report[[#This Row],[order weight ]]*Order_Report[[#This Row],[Order Qty]]</f>
        <v>210</v>
      </c>
    </row>
    <row r="159" spans="1:5" x14ac:dyDescent="0.3">
      <c r="A159">
        <v>2001809820</v>
      </c>
      <c r="B159" t="s">
        <v>47</v>
      </c>
      <c r="C159">
        <v>1</v>
      </c>
      <c r="D159">
        <f>_xlfn.XLOOKUP(Order_Report[[#This Row],[SKU]],SKU_Master[SKU],SKU_Master[Weight (g)],"not found")</f>
        <v>350</v>
      </c>
      <c r="E159">
        <f>Order_Report[[#This Row],[order weight ]]*Order_Report[[#This Row],[Order Qty]]</f>
        <v>350</v>
      </c>
    </row>
    <row r="160" spans="1:5" x14ac:dyDescent="0.3">
      <c r="A160">
        <v>2001809820</v>
      </c>
      <c r="B160" t="s">
        <v>16</v>
      </c>
      <c r="C160">
        <v>1</v>
      </c>
      <c r="D160">
        <f>_xlfn.XLOOKUP(Order_Report[[#This Row],[SKU]],SKU_Master[SKU],SKU_Master[Weight (g)],"not found")</f>
        <v>350</v>
      </c>
      <c r="E160">
        <f>Order_Report[[#This Row],[order weight ]]*Order_Report[[#This Row],[Order Qty]]</f>
        <v>350</v>
      </c>
    </row>
    <row r="161" spans="1:5" x14ac:dyDescent="0.3">
      <c r="A161">
        <v>2001809820</v>
      </c>
      <c r="B161" t="s">
        <v>48</v>
      </c>
      <c r="C161">
        <v>1</v>
      </c>
      <c r="D161">
        <f>_xlfn.XLOOKUP(Order_Report[[#This Row],[SKU]],SKU_Master[SKU],SKU_Master[Weight (g)],"not found")</f>
        <v>350</v>
      </c>
      <c r="E161">
        <f>Order_Report[[#This Row],[order weight ]]*Order_Report[[#This Row],[Order Qty]]</f>
        <v>350</v>
      </c>
    </row>
    <row r="162" spans="1:5" x14ac:dyDescent="0.3">
      <c r="A162">
        <v>2001809820</v>
      </c>
      <c r="B162" t="s">
        <v>44</v>
      </c>
      <c r="C162">
        <v>1</v>
      </c>
      <c r="D162">
        <f>_xlfn.XLOOKUP(Order_Report[[#This Row],[SKU]],SKU_Master[SKU],SKU_Master[Weight (g)],"not found")</f>
        <v>350</v>
      </c>
      <c r="E162">
        <f>Order_Report[[#This Row],[order weight ]]*Order_Report[[#This Row],[Order Qty]]</f>
        <v>350</v>
      </c>
    </row>
    <row r="163" spans="1:5" x14ac:dyDescent="0.3">
      <c r="A163">
        <v>2001809820</v>
      </c>
      <c r="B163" t="s">
        <v>36</v>
      </c>
      <c r="C163">
        <v>2</v>
      </c>
      <c r="D163">
        <f>_xlfn.XLOOKUP(Order_Report[[#This Row],[SKU]],SKU_Master[SKU],SKU_Master[Weight (g)],"not found")</f>
        <v>112</v>
      </c>
      <c r="E163">
        <f>Order_Report[[#This Row],[order weight ]]*Order_Report[[#This Row],[Order Qty]]</f>
        <v>224</v>
      </c>
    </row>
    <row r="164" spans="1:5" x14ac:dyDescent="0.3">
      <c r="A164">
        <v>2001809820</v>
      </c>
      <c r="B164" t="s">
        <v>35</v>
      </c>
      <c r="C164">
        <v>2</v>
      </c>
      <c r="D164">
        <f>_xlfn.XLOOKUP(Order_Report[[#This Row],[SKU]],SKU_Master[SKU],SKU_Master[Weight (g)],"not found")</f>
        <v>112</v>
      </c>
      <c r="E164">
        <f>Order_Report[[#This Row],[order weight ]]*Order_Report[[#This Row],[Order Qty]]</f>
        <v>224</v>
      </c>
    </row>
    <row r="165" spans="1:5" x14ac:dyDescent="0.3">
      <c r="A165">
        <v>2001809820</v>
      </c>
      <c r="B165" t="s">
        <v>10</v>
      </c>
      <c r="C165">
        <v>1</v>
      </c>
      <c r="D165">
        <f>_xlfn.XLOOKUP(Order_Report[[#This Row],[SKU]],SKU_Master[SKU],SKU_Master[Weight (g)],"not found")</f>
        <v>120</v>
      </c>
      <c r="E165">
        <f>Order_Report[[#This Row],[order weight ]]*Order_Report[[#This Row],[Order Qty]]</f>
        <v>120</v>
      </c>
    </row>
    <row r="166" spans="1:5" x14ac:dyDescent="0.3">
      <c r="A166">
        <v>2001809820</v>
      </c>
      <c r="B166" t="s">
        <v>32</v>
      </c>
      <c r="C166">
        <v>1</v>
      </c>
      <c r="D166">
        <f>_xlfn.XLOOKUP(Order_Report[[#This Row],[SKU]],SKU_Master[SKU],SKU_Master[Weight (g)],"not found")</f>
        <v>100</v>
      </c>
      <c r="E166">
        <f>Order_Report[[#This Row],[order weight ]]*Order_Report[[#This Row],[Order Qty]]</f>
        <v>100</v>
      </c>
    </row>
    <row r="167" spans="1:5" x14ac:dyDescent="0.3">
      <c r="A167">
        <v>2001809820</v>
      </c>
      <c r="B167" t="s">
        <v>45</v>
      </c>
      <c r="C167">
        <v>1</v>
      </c>
      <c r="D167">
        <f>_xlfn.XLOOKUP(Order_Report[[#This Row],[SKU]],SKU_Master[SKU],SKU_Master[Weight (g)],"not found")</f>
        <v>140</v>
      </c>
      <c r="E167">
        <f>Order_Report[[#This Row],[order weight ]]*Order_Report[[#This Row],[Order Qty]]</f>
        <v>140</v>
      </c>
    </row>
    <row r="168" spans="1:5" x14ac:dyDescent="0.3">
      <c r="A168">
        <v>2001809820</v>
      </c>
      <c r="B168" t="s">
        <v>46</v>
      </c>
      <c r="C168">
        <v>1</v>
      </c>
      <c r="D168">
        <f>_xlfn.XLOOKUP(Order_Report[[#This Row],[SKU]],SKU_Master[SKU],SKU_Master[Weight (g)],"not found")</f>
        <v>140</v>
      </c>
      <c r="E168">
        <f>Order_Report[[#This Row],[order weight ]]*Order_Report[[#This Row],[Order Qty]]</f>
        <v>140</v>
      </c>
    </row>
    <row r="169" spans="1:5" x14ac:dyDescent="0.3">
      <c r="A169">
        <v>2001809820</v>
      </c>
      <c r="B169" t="s">
        <v>25</v>
      </c>
      <c r="C169">
        <v>1</v>
      </c>
      <c r="D169">
        <f>_xlfn.XLOOKUP(Order_Report[[#This Row],[SKU]],SKU_Master[SKU],SKU_Master[Weight (g)],"not found")</f>
        <v>127</v>
      </c>
      <c r="E169">
        <f>Order_Report[[#This Row],[order weight ]]*Order_Report[[#This Row],[Order Qty]]</f>
        <v>127</v>
      </c>
    </row>
    <row r="170" spans="1:5" x14ac:dyDescent="0.3">
      <c r="A170">
        <v>2001809820</v>
      </c>
      <c r="B170" t="s">
        <v>34</v>
      </c>
      <c r="C170">
        <v>1</v>
      </c>
      <c r="D170">
        <f>_xlfn.XLOOKUP(Order_Report[[#This Row],[SKU]],SKU_Master[SKU],SKU_Master[Weight (g)],"not found")</f>
        <v>133</v>
      </c>
      <c r="E170">
        <f>Order_Report[[#This Row],[order weight ]]*Order_Report[[#This Row],[Order Qty]]</f>
        <v>133</v>
      </c>
    </row>
    <row r="171" spans="1:5" x14ac:dyDescent="0.3">
      <c r="A171">
        <v>2001809820</v>
      </c>
      <c r="B171" t="s">
        <v>30</v>
      </c>
      <c r="C171">
        <v>1</v>
      </c>
      <c r="D171">
        <f>_xlfn.XLOOKUP(Order_Report[[#This Row],[SKU]],SKU_Master[SKU],SKU_Master[Weight (g)],"not found")</f>
        <v>240</v>
      </c>
      <c r="E171">
        <f>Order_Report[[#This Row],[order weight ]]*Order_Report[[#This Row],[Order Qty]]</f>
        <v>240</v>
      </c>
    </row>
    <row r="172" spans="1:5" x14ac:dyDescent="0.3">
      <c r="A172">
        <v>2001809820</v>
      </c>
      <c r="B172" t="s">
        <v>28</v>
      </c>
      <c r="C172">
        <v>1</v>
      </c>
      <c r="D172">
        <f>_xlfn.XLOOKUP(Order_Report[[#This Row],[SKU]],SKU_Master[SKU],SKU_Master[Weight (g)],"not found")</f>
        <v>232</v>
      </c>
      <c r="E172">
        <f>Order_Report[[#This Row],[order weight ]]*Order_Report[[#This Row],[Order Qty]]</f>
        <v>232</v>
      </c>
    </row>
    <row r="173" spans="1:5" x14ac:dyDescent="0.3">
      <c r="A173">
        <v>2001809794</v>
      </c>
      <c r="B173" t="s">
        <v>48</v>
      </c>
      <c r="C173">
        <v>1</v>
      </c>
      <c r="D173">
        <f>_xlfn.XLOOKUP(Order_Report[[#This Row],[SKU]],SKU_Master[SKU],SKU_Master[Weight (g)],"not found")</f>
        <v>350</v>
      </c>
      <c r="E173">
        <f>Order_Report[[#This Row],[order weight ]]*Order_Report[[#This Row],[Order Qty]]</f>
        <v>350</v>
      </c>
    </row>
    <row r="174" spans="1:5" x14ac:dyDescent="0.3">
      <c r="A174">
        <v>2001809794</v>
      </c>
      <c r="B174" t="s">
        <v>50</v>
      </c>
      <c r="C174">
        <v>1</v>
      </c>
      <c r="D174">
        <f>_xlfn.XLOOKUP(Order_Report[[#This Row],[SKU]],SKU_Master[SKU],SKU_Master[Weight (g)],"not found")</f>
        <v>165</v>
      </c>
      <c r="E174">
        <f>Order_Report[[#This Row],[order weight ]]*Order_Report[[#This Row],[Order Qty]]</f>
        <v>165</v>
      </c>
    </row>
    <row r="175" spans="1:5" x14ac:dyDescent="0.3">
      <c r="A175">
        <v>2001809794</v>
      </c>
      <c r="B175" t="s">
        <v>31</v>
      </c>
      <c r="C175">
        <v>1</v>
      </c>
      <c r="D175">
        <f>_xlfn.XLOOKUP(Order_Report[[#This Row],[SKU]],SKU_Master[SKU],SKU_Master[Weight (g)],"not found")</f>
        <v>120</v>
      </c>
      <c r="E175">
        <f>Order_Report[[#This Row],[order weight ]]*Order_Report[[#This Row],[Order Qty]]</f>
        <v>120</v>
      </c>
    </row>
    <row r="176" spans="1:5" x14ac:dyDescent="0.3">
      <c r="A176">
        <v>2001809794</v>
      </c>
      <c r="B176" t="s">
        <v>10</v>
      </c>
      <c r="C176">
        <v>1</v>
      </c>
      <c r="D176">
        <f>_xlfn.XLOOKUP(Order_Report[[#This Row],[SKU]],SKU_Master[SKU],SKU_Master[Weight (g)],"not found")</f>
        <v>120</v>
      </c>
      <c r="E176">
        <f>Order_Report[[#This Row],[order weight ]]*Order_Report[[#This Row],[Order Qty]]</f>
        <v>120</v>
      </c>
    </row>
    <row r="177" spans="1:5" x14ac:dyDescent="0.3">
      <c r="A177">
        <v>2001809794</v>
      </c>
      <c r="B177" t="s">
        <v>28</v>
      </c>
      <c r="C177">
        <v>1</v>
      </c>
      <c r="D177">
        <f>_xlfn.XLOOKUP(Order_Report[[#This Row],[SKU]],SKU_Master[SKU],SKU_Master[Weight (g)],"not found")</f>
        <v>232</v>
      </c>
      <c r="E177">
        <f>Order_Report[[#This Row],[order weight ]]*Order_Report[[#This Row],[Order Qty]]</f>
        <v>232</v>
      </c>
    </row>
    <row r="178" spans="1:5" x14ac:dyDescent="0.3">
      <c r="A178">
        <v>2001809794</v>
      </c>
      <c r="B178" t="s">
        <v>57</v>
      </c>
      <c r="C178">
        <v>1</v>
      </c>
      <c r="D178">
        <f>_xlfn.XLOOKUP(Order_Report[[#This Row],[SKU]],SKU_Master[SKU],SKU_Master[Weight (g)],"not found")</f>
        <v>500</v>
      </c>
      <c r="E178">
        <f>Order_Report[[#This Row],[order weight ]]*Order_Report[[#This Row],[Order Qty]]</f>
        <v>500</v>
      </c>
    </row>
    <row r="179" spans="1:5" x14ac:dyDescent="0.3">
      <c r="A179">
        <v>2001809794</v>
      </c>
      <c r="B179" t="s">
        <v>41</v>
      </c>
      <c r="C179">
        <v>1</v>
      </c>
      <c r="D179">
        <f>_xlfn.XLOOKUP(Order_Report[[#This Row],[SKU]],SKU_Master[SKU],SKU_Master[Weight (g)],"not found")</f>
        <v>30</v>
      </c>
      <c r="E179">
        <f>Order_Report[[#This Row],[order weight ]]*Order_Report[[#This Row],[Order Qty]]</f>
        <v>30</v>
      </c>
    </row>
    <row r="180" spans="1:5" x14ac:dyDescent="0.3">
      <c r="A180">
        <v>2001809592</v>
      </c>
      <c r="B180" t="s">
        <v>25</v>
      </c>
      <c r="C180">
        <v>1</v>
      </c>
      <c r="D180">
        <f>_xlfn.XLOOKUP(Order_Report[[#This Row],[SKU]],SKU_Master[SKU],SKU_Master[Weight (g)],"not found")</f>
        <v>127</v>
      </c>
      <c r="E180">
        <f>Order_Report[[#This Row],[order weight ]]*Order_Report[[#This Row],[Order Qty]]</f>
        <v>127</v>
      </c>
    </row>
    <row r="181" spans="1:5" x14ac:dyDescent="0.3">
      <c r="A181">
        <v>2001809592</v>
      </c>
      <c r="B181" t="s">
        <v>35</v>
      </c>
      <c r="C181">
        <v>8</v>
      </c>
      <c r="D181">
        <f>_xlfn.XLOOKUP(Order_Report[[#This Row],[SKU]],SKU_Master[SKU],SKU_Master[Weight (g)],"not found")</f>
        <v>112</v>
      </c>
      <c r="E181">
        <f>Order_Report[[#This Row],[order weight ]]*Order_Report[[#This Row],[Order Qty]]</f>
        <v>896</v>
      </c>
    </row>
    <row r="182" spans="1:5" x14ac:dyDescent="0.3">
      <c r="A182">
        <v>2001809592</v>
      </c>
      <c r="B182" t="s">
        <v>24</v>
      </c>
      <c r="C182">
        <v>2</v>
      </c>
      <c r="D182">
        <f>_xlfn.XLOOKUP(Order_Report[[#This Row],[SKU]],SKU_Master[SKU],SKU_Master[Weight (g)],"not found")</f>
        <v>121</v>
      </c>
      <c r="E182">
        <f>Order_Report[[#This Row],[order weight ]]*Order_Report[[#This Row],[Order Qty]]</f>
        <v>242</v>
      </c>
    </row>
    <row r="183" spans="1:5" x14ac:dyDescent="0.3">
      <c r="A183">
        <v>2001809592</v>
      </c>
      <c r="B183" t="s">
        <v>30</v>
      </c>
      <c r="C183">
        <v>1</v>
      </c>
      <c r="D183">
        <f>_xlfn.XLOOKUP(Order_Report[[#This Row],[SKU]],SKU_Master[SKU],SKU_Master[Weight (g)],"not found")</f>
        <v>240</v>
      </c>
      <c r="E183">
        <f>Order_Report[[#This Row],[order weight ]]*Order_Report[[#This Row],[Order Qty]]</f>
        <v>240</v>
      </c>
    </row>
    <row r="184" spans="1:5" x14ac:dyDescent="0.3">
      <c r="A184">
        <v>2001809383</v>
      </c>
      <c r="B184" t="s">
        <v>25</v>
      </c>
      <c r="C184">
        <v>1</v>
      </c>
      <c r="D184">
        <f>_xlfn.XLOOKUP(Order_Report[[#This Row],[SKU]],SKU_Master[SKU],SKU_Master[Weight (g)],"not found")</f>
        <v>127</v>
      </c>
      <c r="E184">
        <f>Order_Report[[#This Row],[order weight ]]*Order_Report[[#This Row],[Order Qty]]</f>
        <v>127</v>
      </c>
    </row>
    <row r="185" spans="1:5" x14ac:dyDescent="0.3">
      <c r="A185">
        <v>2001809383</v>
      </c>
      <c r="B185" t="s">
        <v>30</v>
      </c>
      <c r="C185">
        <v>1</v>
      </c>
      <c r="D185">
        <f>_xlfn.XLOOKUP(Order_Report[[#This Row],[SKU]],SKU_Master[SKU],SKU_Master[Weight (g)],"not found")</f>
        <v>240</v>
      </c>
      <c r="E185">
        <f>Order_Report[[#This Row],[order weight ]]*Order_Report[[#This Row],[Order Qty]]</f>
        <v>240</v>
      </c>
    </row>
    <row r="186" spans="1:5" x14ac:dyDescent="0.3">
      <c r="A186">
        <v>2001809383</v>
      </c>
      <c r="B186" t="s">
        <v>62</v>
      </c>
      <c r="C186">
        <v>1</v>
      </c>
      <c r="D186">
        <f>_xlfn.XLOOKUP(Order_Report[[#This Row],[SKU]],SKU_Master[SKU],SKU_Master[Weight (g)],"not found")</f>
        <v>240</v>
      </c>
      <c r="E186">
        <f>Order_Report[[#This Row],[order weight ]]*Order_Report[[#This Row],[Order Qty]]</f>
        <v>240</v>
      </c>
    </row>
    <row r="187" spans="1:5" x14ac:dyDescent="0.3">
      <c r="A187">
        <v>2001809270</v>
      </c>
      <c r="B187" t="s">
        <v>25</v>
      </c>
      <c r="C187">
        <v>1</v>
      </c>
      <c r="D187">
        <f>_xlfn.XLOOKUP(Order_Report[[#This Row],[SKU]],SKU_Master[SKU],SKU_Master[Weight (g)],"not found")</f>
        <v>127</v>
      </c>
      <c r="E187">
        <f>Order_Report[[#This Row],[order weight ]]*Order_Report[[#This Row],[Order Qty]]</f>
        <v>127</v>
      </c>
    </row>
    <row r="188" spans="1:5" x14ac:dyDescent="0.3">
      <c r="A188">
        <v>2001809270</v>
      </c>
      <c r="B188" t="s">
        <v>34</v>
      </c>
      <c r="C188">
        <v>1</v>
      </c>
      <c r="D188">
        <f>_xlfn.XLOOKUP(Order_Report[[#This Row],[SKU]],SKU_Master[SKU],SKU_Master[Weight (g)],"not found")</f>
        <v>133</v>
      </c>
      <c r="E188">
        <f>Order_Report[[#This Row],[order weight ]]*Order_Report[[#This Row],[Order Qty]]</f>
        <v>133</v>
      </c>
    </row>
    <row r="189" spans="1:5" x14ac:dyDescent="0.3">
      <c r="A189">
        <v>2001809270</v>
      </c>
      <c r="B189" t="s">
        <v>30</v>
      </c>
      <c r="C189">
        <v>1</v>
      </c>
      <c r="D189">
        <f>_xlfn.XLOOKUP(Order_Report[[#This Row],[SKU]],SKU_Master[SKU],SKU_Master[Weight (g)],"not found")</f>
        <v>240</v>
      </c>
      <c r="E189">
        <f>Order_Report[[#This Row],[order weight ]]*Order_Report[[#This Row],[Order Qty]]</f>
        <v>240</v>
      </c>
    </row>
    <row r="190" spans="1:5" x14ac:dyDescent="0.3">
      <c r="A190">
        <v>2001808992</v>
      </c>
      <c r="B190" t="s">
        <v>25</v>
      </c>
      <c r="C190">
        <v>1</v>
      </c>
      <c r="D190">
        <f>_xlfn.XLOOKUP(Order_Report[[#This Row],[SKU]],SKU_Master[SKU],SKU_Master[Weight (g)],"not found")</f>
        <v>127</v>
      </c>
      <c r="E190">
        <f>Order_Report[[#This Row],[order weight ]]*Order_Report[[#This Row],[Order Qty]]</f>
        <v>127</v>
      </c>
    </row>
    <row r="191" spans="1:5" x14ac:dyDescent="0.3">
      <c r="A191">
        <v>2001808992</v>
      </c>
      <c r="B191" t="s">
        <v>34</v>
      </c>
      <c r="C191">
        <v>1</v>
      </c>
      <c r="D191">
        <f>_xlfn.XLOOKUP(Order_Report[[#This Row],[SKU]],SKU_Master[SKU],SKU_Master[Weight (g)],"not found")</f>
        <v>133</v>
      </c>
      <c r="E191">
        <f>Order_Report[[#This Row],[order weight ]]*Order_Report[[#This Row],[Order Qty]]</f>
        <v>133</v>
      </c>
    </row>
    <row r="192" spans="1:5" x14ac:dyDescent="0.3">
      <c r="A192">
        <v>2001808992</v>
      </c>
      <c r="B192" t="s">
        <v>30</v>
      </c>
      <c r="C192">
        <v>1</v>
      </c>
      <c r="D192">
        <f>_xlfn.XLOOKUP(Order_Report[[#This Row],[SKU]],SKU_Master[SKU],SKU_Master[Weight (g)],"not found")</f>
        <v>240</v>
      </c>
      <c r="E192">
        <f>Order_Report[[#This Row],[order weight ]]*Order_Report[[#This Row],[Order Qty]]</f>
        <v>240</v>
      </c>
    </row>
    <row r="193" spans="1:5" x14ac:dyDescent="0.3">
      <c r="A193">
        <v>2001808883</v>
      </c>
      <c r="B193" t="s">
        <v>25</v>
      </c>
      <c r="C193">
        <v>1</v>
      </c>
      <c r="D193">
        <f>_xlfn.XLOOKUP(Order_Report[[#This Row],[SKU]],SKU_Master[SKU],SKU_Master[Weight (g)],"not found")</f>
        <v>127</v>
      </c>
      <c r="E193">
        <f>Order_Report[[#This Row],[order weight ]]*Order_Report[[#This Row],[Order Qty]]</f>
        <v>127</v>
      </c>
    </row>
    <row r="194" spans="1:5" x14ac:dyDescent="0.3">
      <c r="A194">
        <v>2001808883</v>
      </c>
      <c r="B194" t="s">
        <v>34</v>
      </c>
      <c r="C194">
        <v>1</v>
      </c>
      <c r="D194">
        <f>_xlfn.XLOOKUP(Order_Report[[#This Row],[SKU]],SKU_Master[SKU],SKU_Master[Weight (g)],"not found")</f>
        <v>133</v>
      </c>
      <c r="E194">
        <f>Order_Report[[#This Row],[order weight ]]*Order_Report[[#This Row],[Order Qty]]</f>
        <v>133</v>
      </c>
    </row>
    <row r="195" spans="1:5" x14ac:dyDescent="0.3">
      <c r="A195">
        <v>2001808883</v>
      </c>
      <c r="B195" t="s">
        <v>30</v>
      </c>
      <c r="C195">
        <v>1</v>
      </c>
      <c r="D195">
        <f>_xlfn.XLOOKUP(Order_Report[[#This Row],[SKU]],SKU_Master[SKU],SKU_Master[Weight (g)],"not found")</f>
        <v>240</v>
      </c>
      <c r="E195">
        <f>Order_Report[[#This Row],[order weight ]]*Order_Report[[#This Row],[Order Qty]]</f>
        <v>240</v>
      </c>
    </row>
    <row r="196" spans="1:5" x14ac:dyDescent="0.3">
      <c r="A196">
        <v>2001808837</v>
      </c>
      <c r="B196" t="s">
        <v>25</v>
      </c>
      <c r="C196">
        <v>1</v>
      </c>
      <c r="D196">
        <f>_xlfn.XLOOKUP(Order_Report[[#This Row],[SKU]],SKU_Master[SKU],SKU_Master[Weight (g)],"not found")</f>
        <v>127</v>
      </c>
      <c r="E196">
        <f>Order_Report[[#This Row],[order weight ]]*Order_Report[[#This Row],[Order Qty]]</f>
        <v>127</v>
      </c>
    </row>
    <row r="197" spans="1:5" x14ac:dyDescent="0.3">
      <c r="A197">
        <v>2001808837</v>
      </c>
      <c r="B197" t="s">
        <v>34</v>
      </c>
      <c r="C197">
        <v>1</v>
      </c>
      <c r="D197">
        <f>_xlfn.XLOOKUP(Order_Report[[#This Row],[SKU]],SKU_Master[SKU],SKU_Master[Weight (g)],"not found")</f>
        <v>133</v>
      </c>
      <c r="E197">
        <f>Order_Report[[#This Row],[order weight ]]*Order_Report[[#This Row],[Order Qty]]</f>
        <v>133</v>
      </c>
    </row>
    <row r="198" spans="1:5" x14ac:dyDescent="0.3">
      <c r="A198">
        <v>2001808837</v>
      </c>
      <c r="B198" t="s">
        <v>30</v>
      </c>
      <c r="C198">
        <v>1</v>
      </c>
      <c r="D198">
        <f>_xlfn.XLOOKUP(Order_Report[[#This Row],[SKU]],SKU_Master[SKU],SKU_Master[Weight (g)],"not found")</f>
        <v>240</v>
      </c>
      <c r="E198">
        <f>Order_Report[[#This Row],[order weight ]]*Order_Report[[#This Row],[Order Qty]]</f>
        <v>240</v>
      </c>
    </row>
    <row r="199" spans="1:5" x14ac:dyDescent="0.3">
      <c r="A199">
        <v>2001808832</v>
      </c>
      <c r="B199" t="s">
        <v>65</v>
      </c>
      <c r="C199">
        <v>1</v>
      </c>
      <c r="D199">
        <f>_xlfn.XLOOKUP(Order_Report[[#This Row],[SKU]],SKU_Master[SKU],SKU_Master[Weight (g)],"not found")</f>
        <v>600</v>
      </c>
      <c r="E199">
        <f>Order_Report[[#This Row],[order weight ]]*Order_Report[[#This Row],[Order Qty]]</f>
        <v>600</v>
      </c>
    </row>
    <row r="200" spans="1:5" x14ac:dyDescent="0.3">
      <c r="A200">
        <v>2001808801</v>
      </c>
      <c r="B200" t="s">
        <v>12</v>
      </c>
      <c r="C200">
        <v>2</v>
      </c>
      <c r="D200">
        <f>_xlfn.XLOOKUP(Order_Report[[#This Row],[SKU]],SKU_Master[SKU],SKU_Master[Weight (g)],"not found")</f>
        <v>65</v>
      </c>
      <c r="E200">
        <f>Order_Report[[#This Row],[order weight ]]*Order_Report[[#This Row],[Order Qty]]</f>
        <v>130</v>
      </c>
    </row>
    <row r="201" spans="1:5" x14ac:dyDescent="0.3">
      <c r="A201">
        <v>2001808801</v>
      </c>
      <c r="B201" t="s">
        <v>8</v>
      </c>
      <c r="C201">
        <v>2</v>
      </c>
      <c r="D201">
        <f>_xlfn.XLOOKUP(Order_Report[[#This Row],[SKU]],SKU_Master[SKU],SKU_Master[Weight (g)],"not found")</f>
        <v>113</v>
      </c>
      <c r="E201">
        <f>Order_Report[[#This Row],[order weight ]]*Order_Report[[#This Row],[Order Qty]]</f>
        <v>226</v>
      </c>
    </row>
    <row r="202" spans="1:5" x14ac:dyDescent="0.3">
      <c r="A202">
        <v>2001808801</v>
      </c>
      <c r="B202" t="s">
        <v>7</v>
      </c>
      <c r="C202">
        <v>1</v>
      </c>
      <c r="D202">
        <f>_xlfn.XLOOKUP(Order_Report[[#This Row],[SKU]],SKU_Master[SKU],SKU_Master[Weight (g)],"not found")</f>
        <v>165</v>
      </c>
      <c r="E202">
        <f>Order_Report[[#This Row],[order weight ]]*Order_Report[[#This Row],[Order Qty]]</f>
        <v>165</v>
      </c>
    </row>
    <row r="203" spans="1:5" x14ac:dyDescent="0.3">
      <c r="A203">
        <v>2001808801</v>
      </c>
      <c r="B203" t="s">
        <v>5</v>
      </c>
      <c r="C203">
        <v>1</v>
      </c>
      <c r="D203">
        <f>_xlfn.XLOOKUP(Order_Report[[#This Row],[SKU]],SKU_Master[SKU],SKU_Master[Weight (g)],"not found")</f>
        <v>210</v>
      </c>
      <c r="E203">
        <f>Order_Report[[#This Row],[order weight ]]*Order_Report[[#This Row],[Order Qty]]</f>
        <v>210</v>
      </c>
    </row>
    <row r="204" spans="1:5" x14ac:dyDescent="0.3">
      <c r="A204">
        <v>2001808739</v>
      </c>
      <c r="B204" t="s">
        <v>10</v>
      </c>
      <c r="C204">
        <v>1</v>
      </c>
      <c r="D204">
        <f>_xlfn.XLOOKUP(Order_Report[[#This Row],[SKU]],SKU_Master[SKU],SKU_Master[Weight (g)],"not found")</f>
        <v>120</v>
      </c>
      <c r="E204">
        <f>Order_Report[[#This Row],[order weight ]]*Order_Report[[#This Row],[Order Qty]]</f>
        <v>120</v>
      </c>
    </row>
    <row r="205" spans="1:5" x14ac:dyDescent="0.3">
      <c r="A205">
        <v>2001808739</v>
      </c>
      <c r="B205" t="s">
        <v>32</v>
      </c>
      <c r="C205">
        <v>1</v>
      </c>
      <c r="D205">
        <f>_xlfn.XLOOKUP(Order_Report[[#This Row],[SKU]],SKU_Master[SKU],SKU_Master[Weight (g)],"not found")</f>
        <v>100</v>
      </c>
      <c r="E205">
        <f>Order_Report[[#This Row],[order weight ]]*Order_Report[[#This Row],[Order Qty]]</f>
        <v>100</v>
      </c>
    </row>
    <row r="206" spans="1:5" x14ac:dyDescent="0.3">
      <c r="A206">
        <v>2001808679</v>
      </c>
      <c r="B206" t="s">
        <v>25</v>
      </c>
      <c r="C206">
        <v>1</v>
      </c>
      <c r="D206">
        <f>_xlfn.XLOOKUP(Order_Report[[#This Row],[SKU]],SKU_Master[SKU],SKU_Master[Weight (g)],"not found")</f>
        <v>127</v>
      </c>
      <c r="E206">
        <f>Order_Report[[#This Row],[order weight ]]*Order_Report[[#This Row],[Order Qty]]</f>
        <v>127</v>
      </c>
    </row>
    <row r="207" spans="1:5" x14ac:dyDescent="0.3">
      <c r="A207">
        <v>2001808679</v>
      </c>
      <c r="B207" t="s">
        <v>34</v>
      </c>
      <c r="C207">
        <v>1</v>
      </c>
      <c r="D207">
        <f>_xlfn.XLOOKUP(Order_Report[[#This Row],[SKU]],SKU_Master[SKU],SKU_Master[Weight (g)],"not found")</f>
        <v>133</v>
      </c>
      <c r="E207">
        <f>Order_Report[[#This Row],[order weight ]]*Order_Report[[#This Row],[Order Qty]]</f>
        <v>133</v>
      </c>
    </row>
    <row r="208" spans="1:5" x14ac:dyDescent="0.3">
      <c r="A208">
        <v>2001808679</v>
      </c>
      <c r="B208" t="s">
        <v>30</v>
      </c>
      <c r="C208">
        <v>1</v>
      </c>
      <c r="D208">
        <f>_xlfn.XLOOKUP(Order_Report[[#This Row],[SKU]],SKU_Master[SKU],SKU_Master[Weight (g)],"not found")</f>
        <v>240</v>
      </c>
      <c r="E208">
        <f>Order_Report[[#This Row],[order weight ]]*Order_Report[[#This Row],[Order Qty]]</f>
        <v>240</v>
      </c>
    </row>
    <row r="209" spans="1:5" x14ac:dyDescent="0.3">
      <c r="A209">
        <v>2001808675</v>
      </c>
      <c r="B209" t="s">
        <v>20</v>
      </c>
      <c r="C209">
        <v>1</v>
      </c>
      <c r="D209">
        <f>_xlfn.XLOOKUP(Order_Report[[#This Row],[SKU]],SKU_Master[SKU],SKU_Master[Weight (g)],"not found")</f>
        <v>65</v>
      </c>
      <c r="E209">
        <f>Order_Report[[#This Row],[order weight ]]*Order_Report[[#This Row],[Order Qty]]</f>
        <v>65</v>
      </c>
    </row>
    <row r="210" spans="1:5" x14ac:dyDescent="0.3">
      <c r="A210">
        <v>2001808675</v>
      </c>
      <c r="B210" t="s">
        <v>8</v>
      </c>
      <c r="C210">
        <v>1</v>
      </c>
      <c r="D210">
        <f>_xlfn.XLOOKUP(Order_Report[[#This Row],[SKU]],SKU_Master[SKU],SKU_Master[Weight (g)],"not found")</f>
        <v>113</v>
      </c>
      <c r="E210">
        <f>Order_Report[[#This Row],[order weight ]]*Order_Report[[#This Row],[Order Qty]]</f>
        <v>113</v>
      </c>
    </row>
    <row r="211" spans="1:5" x14ac:dyDescent="0.3">
      <c r="A211">
        <v>2001808675</v>
      </c>
      <c r="B211" t="s">
        <v>7</v>
      </c>
      <c r="C211">
        <v>1</v>
      </c>
      <c r="D211">
        <f>_xlfn.XLOOKUP(Order_Report[[#This Row],[SKU]],SKU_Master[SKU],SKU_Master[Weight (g)],"not found")</f>
        <v>165</v>
      </c>
      <c r="E211">
        <f>Order_Report[[#This Row],[order weight ]]*Order_Report[[#This Row],[Order Qty]]</f>
        <v>165</v>
      </c>
    </row>
    <row r="212" spans="1:5" x14ac:dyDescent="0.3">
      <c r="A212">
        <v>2001808675</v>
      </c>
      <c r="B212" t="s">
        <v>13</v>
      </c>
      <c r="C212">
        <v>1</v>
      </c>
      <c r="D212">
        <f>_xlfn.XLOOKUP(Order_Report[[#This Row],[SKU]],SKU_Master[SKU],SKU_Master[Weight (g)],"not found")</f>
        <v>170</v>
      </c>
      <c r="E212">
        <f>Order_Report[[#This Row],[order weight ]]*Order_Report[[#This Row],[Order Qty]]</f>
        <v>170</v>
      </c>
    </row>
    <row r="213" spans="1:5" x14ac:dyDescent="0.3">
      <c r="A213">
        <v>2001808675</v>
      </c>
      <c r="B213" t="s">
        <v>56</v>
      </c>
      <c r="C213">
        <v>1</v>
      </c>
      <c r="D213">
        <f>_xlfn.XLOOKUP(Order_Report[[#This Row],[SKU]],SKU_Master[SKU],SKU_Master[Weight (g)],"not found")</f>
        <v>500</v>
      </c>
      <c r="E213">
        <f>Order_Report[[#This Row],[order weight ]]*Order_Report[[#This Row],[Order Qty]]</f>
        <v>500</v>
      </c>
    </row>
    <row r="214" spans="1:5" x14ac:dyDescent="0.3">
      <c r="A214">
        <v>2001808675</v>
      </c>
      <c r="B214" t="s">
        <v>59</v>
      </c>
      <c r="C214">
        <v>1</v>
      </c>
      <c r="D214">
        <f>_xlfn.XLOOKUP(Order_Report[[#This Row],[SKU]],SKU_Master[SKU],SKU_Master[Weight (g)],"not found")</f>
        <v>170</v>
      </c>
      <c r="E214">
        <f>Order_Report[[#This Row],[order weight ]]*Order_Report[[#This Row],[Order Qty]]</f>
        <v>170</v>
      </c>
    </row>
    <row r="215" spans="1:5" x14ac:dyDescent="0.3">
      <c r="A215">
        <v>2001808585</v>
      </c>
      <c r="B215" t="s">
        <v>25</v>
      </c>
      <c r="C215">
        <v>1</v>
      </c>
      <c r="D215">
        <f>_xlfn.XLOOKUP(Order_Report[[#This Row],[SKU]],SKU_Master[SKU],SKU_Master[Weight (g)],"not found")</f>
        <v>127</v>
      </c>
      <c r="E215">
        <f>Order_Report[[#This Row],[order weight ]]*Order_Report[[#This Row],[Order Qty]]</f>
        <v>127</v>
      </c>
    </row>
    <row r="216" spans="1:5" x14ac:dyDescent="0.3">
      <c r="A216">
        <v>2001808585</v>
      </c>
      <c r="B216" t="s">
        <v>34</v>
      </c>
      <c r="C216">
        <v>1</v>
      </c>
      <c r="D216">
        <f>_xlfn.XLOOKUP(Order_Report[[#This Row],[SKU]],SKU_Master[SKU],SKU_Master[Weight (g)],"not found")</f>
        <v>133</v>
      </c>
      <c r="E216">
        <f>Order_Report[[#This Row],[order weight ]]*Order_Report[[#This Row],[Order Qty]]</f>
        <v>133</v>
      </c>
    </row>
    <row r="217" spans="1:5" x14ac:dyDescent="0.3">
      <c r="A217">
        <v>2001808585</v>
      </c>
      <c r="B217" t="s">
        <v>30</v>
      </c>
      <c r="C217">
        <v>1</v>
      </c>
      <c r="D217">
        <f>_xlfn.XLOOKUP(Order_Report[[#This Row],[SKU]],SKU_Master[SKU],SKU_Master[Weight (g)],"not found")</f>
        <v>240</v>
      </c>
      <c r="E217">
        <f>Order_Report[[#This Row],[order weight ]]*Order_Report[[#This Row],[Order Qty]]</f>
        <v>240</v>
      </c>
    </row>
    <row r="218" spans="1:5" x14ac:dyDescent="0.3">
      <c r="A218">
        <v>2001808542</v>
      </c>
      <c r="B218" t="s">
        <v>62</v>
      </c>
      <c r="C218">
        <v>2</v>
      </c>
      <c r="D218">
        <f>_xlfn.XLOOKUP(Order_Report[[#This Row],[SKU]],SKU_Master[SKU],SKU_Master[Weight (g)],"not found")</f>
        <v>240</v>
      </c>
      <c r="E218">
        <f>Order_Report[[#This Row],[order weight ]]*Order_Report[[#This Row],[Order Qty]]</f>
        <v>480</v>
      </c>
    </row>
    <row r="219" spans="1:5" x14ac:dyDescent="0.3">
      <c r="A219">
        <v>2001808542</v>
      </c>
      <c r="B219" t="s">
        <v>25</v>
      </c>
      <c r="C219">
        <v>2</v>
      </c>
      <c r="D219">
        <f>_xlfn.XLOOKUP(Order_Report[[#This Row],[SKU]],SKU_Master[SKU],SKU_Master[Weight (g)],"not found")</f>
        <v>127</v>
      </c>
      <c r="E219">
        <f>Order_Report[[#This Row],[order weight ]]*Order_Report[[#This Row],[Order Qty]]</f>
        <v>254</v>
      </c>
    </row>
    <row r="220" spans="1:5" x14ac:dyDescent="0.3">
      <c r="A220">
        <v>2001808507</v>
      </c>
      <c r="B220" t="s">
        <v>25</v>
      </c>
      <c r="C220">
        <v>1</v>
      </c>
      <c r="D220">
        <f>_xlfn.XLOOKUP(Order_Report[[#This Row],[SKU]],SKU_Master[SKU],SKU_Master[Weight (g)],"not found")</f>
        <v>127</v>
      </c>
      <c r="E220">
        <f>Order_Report[[#This Row],[order weight ]]*Order_Report[[#This Row],[Order Qty]]</f>
        <v>127</v>
      </c>
    </row>
    <row r="221" spans="1:5" x14ac:dyDescent="0.3">
      <c r="A221">
        <v>2001808507</v>
      </c>
      <c r="B221" t="s">
        <v>30</v>
      </c>
      <c r="C221">
        <v>1</v>
      </c>
      <c r="D221">
        <f>_xlfn.XLOOKUP(Order_Report[[#This Row],[SKU]],SKU_Master[SKU],SKU_Master[Weight (g)],"not found")</f>
        <v>240</v>
      </c>
      <c r="E221">
        <f>Order_Report[[#This Row],[order weight ]]*Order_Report[[#This Row],[Order Qty]]</f>
        <v>240</v>
      </c>
    </row>
    <row r="222" spans="1:5" x14ac:dyDescent="0.3">
      <c r="A222">
        <v>2001808507</v>
      </c>
      <c r="B222" t="s">
        <v>62</v>
      </c>
      <c r="C222">
        <v>1</v>
      </c>
      <c r="D222">
        <f>_xlfn.XLOOKUP(Order_Report[[#This Row],[SKU]],SKU_Master[SKU],SKU_Master[Weight (g)],"not found")</f>
        <v>240</v>
      </c>
      <c r="E222">
        <f>Order_Report[[#This Row],[order weight ]]*Order_Report[[#This Row],[Order Qty]]</f>
        <v>240</v>
      </c>
    </row>
    <row r="223" spans="1:5" x14ac:dyDescent="0.3">
      <c r="A223">
        <v>2001808475</v>
      </c>
      <c r="B223" t="s">
        <v>25</v>
      </c>
      <c r="C223">
        <v>1</v>
      </c>
      <c r="D223">
        <f>_xlfn.XLOOKUP(Order_Report[[#This Row],[SKU]],SKU_Master[SKU],SKU_Master[Weight (g)],"not found")</f>
        <v>127</v>
      </c>
      <c r="E223">
        <f>Order_Report[[#This Row],[order weight ]]*Order_Report[[#This Row],[Order Qty]]</f>
        <v>127</v>
      </c>
    </row>
    <row r="224" spans="1:5" x14ac:dyDescent="0.3">
      <c r="A224">
        <v>2001808475</v>
      </c>
      <c r="B224" t="s">
        <v>34</v>
      </c>
      <c r="C224">
        <v>1</v>
      </c>
      <c r="D224">
        <f>_xlfn.XLOOKUP(Order_Report[[#This Row],[SKU]],SKU_Master[SKU],SKU_Master[Weight (g)],"not found")</f>
        <v>133</v>
      </c>
      <c r="E224">
        <f>Order_Report[[#This Row],[order weight ]]*Order_Report[[#This Row],[Order Qty]]</f>
        <v>133</v>
      </c>
    </row>
    <row r="225" spans="1:5" x14ac:dyDescent="0.3">
      <c r="A225">
        <v>2001808475</v>
      </c>
      <c r="B225" t="s">
        <v>30</v>
      </c>
      <c r="C225">
        <v>1</v>
      </c>
      <c r="D225">
        <f>_xlfn.XLOOKUP(Order_Report[[#This Row],[SKU]],SKU_Master[SKU],SKU_Master[Weight (g)],"not found")</f>
        <v>240</v>
      </c>
      <c r="E225">
        <f>Order_Report[[#This Row],[order weight ]]*Order_Report[[#This Row],[Order Qty]]</f>
        <v>240</v>
      </c>
    </row>
    <row r="226" spans="1:5" x14ac:dyDescent="0.3">
      <c r="A226">
        <v>2001808295</v>
      </c>
      <c r="B226" t="s">
        <v>42</v>
      </c>
      <c r="C226">
        <v>1</v>
      </c>
      <c r="D226">
        <f>_xlfn.XLOOKUP(Order_Report[[#This Row],[SKU]],SKU_Master[SKU],SKU_Master[Weight (g)],"not found")</f>
        <v>115</v>
      </c>
      <c r="E226">
        <f>Order_Report[[#This Row],[order weight ]]*Order_Report[[#This Row],[Order Qty]]</f>
        <v>115</v>
      </c>
    </row>
    <row r="227" spans="1:5" x14ac:dyDescent="0.3">
      <c r="A227">
        <v>2001808295</v>
      </c>
      <c r="B227" t="s">
        <v>63</v>
      </c>
      <c r="C227">
        <v>1</v>
      </c>
      <c r="D227">
        <f>_xlfn.XLOOKUP(Order_Report[[#This Row],[SKU]],SKU_Master[SKU],SKU_Master[Weight (g)],"not found")</f>
        <v>130</v>
      </c>
      <c r="E227">
        <f>Order_Report[[#This Row],[order weight ]]*Order_Report[[#This Row],[Order Qty]]</f>
        <v>130</v>
      </c>
    </row>
    <row r="228" spans="1:5" x14ac:dyDescent="0.3">
      <c r="A228">
        <v>2001808286</v>
      </c>
      <c r="B228" t="s">
        <v>24</v>
      </c>
      <c r="C228">
        <v>1</v>
      </c>
      <c r="D228">
        <f>_xlfn.XLOOKUP(Order_Report[[#This Row],[SKU]],SKU_Master[SKU],SKU_Master[Weight (g)],"not found")</f>
        <v>121</v>
      </c>
      <c r="E228">
        <f>Order_Report[[#This Row],[order weight ]]*Order_Report[[#This Row],[Order Qty]]</f>
        <v>121</v>
      </c>
    </row>
    <row r="229" spans="1:5" x14ac:dyDescent="0.3">
      <c r="A229">
        <v>2001808286</v>
      </c>
      <c r="B229" t="s">
        <v>62</v>
      </c>
      <c r="C229">
        <v>1</v>
      </c>
      <c r="D229">
        <f>_xlfn.XLOOKUP(Order_Report[[#This Row],[SKU]],SKU_Master[SKU],SKU_Master[Weight (g)],"not found")</f>
        <v>240</v>
      </c>
      <c r="E229">
        <f>Order_Report[[#This Row],[order weight ]]*Order_Report[[#This Row],[Order Qty]]</f>
        <v>240</v>
      </c>
    </row>
    <row r="230" spans="1:5" x14ac:dyDescent="0.3">
      <c r="A230">
        <v>2001808286</v>
      </c>
      <c r="B230" t="s">
        <v>30</v>
      </c>
      <c r="C230">
        <v>1</v>
      </c>
      <c r="D230">
        <f>_xlfn.XLOOKUP(Order_Report[[#This Row],[SKU]],SKU_Master[SKU],SKU_Master[Weight (g)],"not found")</f>
        <v>240</v>
      </c>
      <c r="E230">
        <f>Order_Report[[#This Row],[order weight ]]*Order_Report[[#This Row],[Order Qty]]</f>
        <v>240</v>
      </c>
    </row>
    <row r="231" spans="1:5" x14ac:dyDescent="0.3">
      <c r="A231">
        <v>2001808207</v>
      </c>
      <c r="B231" t="s">
        <v>25</v>
      </c>
      <c r="C231">
        <v>1</v>
      </c>
      <c r="D231">
        <f>_xlfn.XLOOKUP(Order_Report[[#This Row],[SKU]],SKU_Master[SKU],SKU_Master[Weight (g)],"not found")</f>
        <v>127</v>
      </c>
      <c r="E231">
        <f>Order_Report[[#This Row],[order weight ]]*Order_Report[[#This Row],[Order Qty]]</f>
        <v>127</v>
      </c>
    </row>
    <row r="232" spans="1:5" x14ac:dyDescent="0.3">
      <c r="A232">
        <v>2001808207</v>
      </c>
      <c r="B232" t="s">
        <v>30</v>
      </c>
      <c r="C232">
        <v>1</v>
      </c>
      <c r="D232">
        <f>_xlfn.XLOOKUP(Order_Report[[#This Row],[SKU]],SKU_Master[SKU],SKU_Master[Weight (g)],"not found")</f>
        <v>240</v>
      </c>
      <c r="E232">
        <f>Order_Report[[#This Row],[order weight ]]*Order_Report[[#This Row],[Order Qty]]</f>
        <v>240</v>
      </c>
    </row>
    <row r="233" spans="1:5" x14ac:dyDescent="0.3">
      <c r="A233">
        <v>2001808207</v>
      </c>
      <c r="B233" t="s">
        <v>62</v>
      </c>
      <c r="C233">
        <v>1</v>
      </c>
      <c r="D233">
        <f>_xlfn.XLOOKUP(Order_Report[[#This Row],[SKU]],SKU_Master[SKU],SKU_Master[Weight (g)],"not found")</f>
        <v>240</v>
      </c>
      <c r="E233">
        <f>Order_Report[[#This Row],[order weight ]]*Order_Report[[#This Row],[Order Qty]]</f>
        <v>240</v>
      </c>
    </row>
    <row r="234" spans="1:5" x14ac:dyDescent="0.3">
      <c r="A234">
        <v>2001808118</v>
      </c>
      <c r="B234" t="s">
        <v>7</v>
      </c>
      <c r="C234">
        <v>1</v>
      </c>
      <c r="D234">
        <f>_xlfn.XLOOKUP(Order_Report[[#This Row],[SKU]],SKU_Master[SKU],SKU_Master[Weight (g)],"not found")</f>
        <v>165</v>
      </c>
      <c r="E234">
        <f>Order_Report[[#This Row],[order weight ]]*Order_Report[[#This Row],[Order Qty]]</f>
        <v>165</v>
      </c>
    </row>
    <row r="235" spans="1:5" x14ac:dyDescent="0.3">
      <c r="A235">
        <v>2001808118</v>
      </c>
      <c r="B235" t="s">
        <v>12</v>
      </c>
      <c r="C235">
        <v>1</v>
      </c>
      <c r="D235">
        <f>_xlfn.XLOOKUP(Order_Report[[#This Row],[SKU]],SKU_Master[SKU],SKU_Master[Weight (g)],"not found")</f>
        <v>65</v>
      </c>
      <c r="E235">
        <f>Order_Report[[#This Row],[order weight ]]*Order_Report[[#This Row],[Order Qty]]</f>
        <v>65</v>
      </c>
    </row>
    <row r="236" spans="1:5" x14ac:dyDescent="0.3">
      <c r="A236">
        <v>2001808118</v>
      </c>
      <c r="B236" t="s">
        <v>29</v>
      </c>
      <c r="C236">
        <v>1</v>
      </c>
      <c r="D236">
        <f>_xlfn.XLOOKUP(Order_Report[[#This Row],[SKU]],SKU_Master[SKU],SKU_Master[Weight (g)],"not found")</f>
        <v>113</v>
      </c>
      <c r="E236">
        <f>Order_Report[[#This Row],[order weight ]]*Order_Report[[#This Row],[Order Qty]]</f>
        <v>113</v>
      </c>
    </row>
    <row r="237" spans="1:5" x14ac:dyDescent="0.3">
      <c r="A237">
        <v>2001808102</v>
      </c>
      <c r="B237" t="s">
        <v>54</v>
      </c>
      <c r="C237">
        <v>2</v>
      </c>
      <c r="D237">
        <f>_xlfn.XLOOKUP(Order_Report[[#This Row],[SKU]],SKU_Master[SKU],SKU_Master[Weight (g)],"not found")</f>
        <v>112</v>
      </c>
      <c r="E237">
        <f>Order_Report[[#This Row],[order weight ]]*Order_Report[[#This Row],[Order Qty]]</f>
        <v>224</v>
      </c>
    </row>
    <row r="238" spans="1:5" x14ac:dyDescent="0.3">
      <c r="A238">
        <v>2001808102</v>
      </c>
      <c r="B238" t="s">
        <v>36</v>
      </c>
      <c r="C238">
        <v>2</v>
      </c>
      <c r="D238">
        <f>_xlfn.XLOOKUP(Order_Report[[#This Row],[SKU]],SKU_Master[SKU],SKU_Master[Weight (g)],"not found")</f>
        <v>112</v>
      </c>
      <c r="E238">
        <f>Order_Report[[#This Row],[order weight ]]*Order_Report[[#This Row],[Order Qty]]</f>
        <v>224</v>
      </c>
    </row>
    <row r="239" spans="1:5" x14ac:dyDescent="0.3">
      <c r="A239">
        <v>2001808102</v>
      </c>
      <c r="B239" t="s">
        <v>35</v>
      </c>
      <c r="C239">
        <v>2</v>
      </c>
      <c r="D239">
        <f>_xlfn.XLOOKUP(Order_Report[[#This Row],[SKU]],SKU_Master[SKU],SKU_Master[Weight (g)],"not found")</f>
        <v>112</v>
      </c>
      <c r="E239">
        <f>Order_Report[[#This Row],[order weight ]]*Order_Report[[#This Row],[Order Qty]]</f>
        <v>224</v>
      </c>
    </row>
    <row r="240" spans="1:5" x14ac:dyDescent="0.3">
      <c r="A240">
        <v>2001808102</v>
      </c>
      <c r="B240" t="s">
        <v>42</v>
      </c>
      <c r="C240">
        <v>1</v>
      </c>
      <c r="D240">
        <f>_xlfn.XLOOKUP(Order_Report[[#This Row],[SKU]],SKU_Master[SKU],SKU_Master[Weight (g)],"not found")</f>
        <v>115</v>
      </c>
      <c r="E240">
        <f>Order_Report[[#This Row],[order weight ]]*Order_Report[[#This Row],[Order Qty]]</f>
        <v>115</v>
      </c>
    </row>
    <row r="241" spans="1:5" x14ac:dyDescent="0.3">
      <c r="A241">
        <v>2001808102</v>
      </c>
      <c r="B241" t="s">
        <v>63</v>
      </c>
      <c r="C241">
        <v>1</v>
      </c>
      <c r="D241">
        <f>_xlfn.XLOOKUP(Order_Report[[#This Row],[SKU]],SKU_Master[SKU],SKU_Master[Weight (g)],"not found")</f>
        <v>130</v>
      </c>
      <c r="E241">
        <f>Order_Report[[#This Row],[order weight ]]*Order_Report[[#This Row],[Order Qty]]</f>
        <v>130</v>
      </c>
    </row>
    <row r="242" spans="1:5" x14ac:dyDescent="0.3">
      <c r="A242">
        <v>2001808102</v>
      </c>
      <c r="B242" t="s">
        <v>62</v>
      </c>
      <c r="C242">
        <v>1</v>
      </c>
      <c r="D242">
        <f>_xlfn.XLOOKUP(Order_Report[[#This Row],[SKU]],SKU_Master[SKU],SKU_Master[Weight (g)],"not found")</f>
        <v>240</v>
      </c>
      <c r="E242">
        <f>Order_Report[[#This Row],[order weight ]]*Order_Report[[#This Row],[Order Qty]]</f>
        <v>240</v>
      </c>
    </row>
    <row r="243" spans="1:5" x14ac:dyDescent="0.3">
      <c r="A243">
        <v>2001807981</v>
      </c>
      <c r="B243" t="s">
        <v>25</v>
      </c>
      <c r="C243">
        <v>1</v>
      </c>
      <c r="D243">
        <f>_xlfn.XLOOKUP(Order_Report[[#This Row],[SKU]],SKU_Master[SKU],SKU_Master[Weight (g)],"not found")</f>
        <v>127</v>
      </c>
      <c r="E243">
        <f>Order_Report[[#This Row],[order weight ]]*Order_Report[[#This Row],[Order Qty]]</f>
        <v>127</v>
      </c>
    </row>
    <row r="244" spans="1:5" x14ac:dyDescent="0.3">
      <c r="A244">
        <v>2001807981</v>
      </c>
      <c r="B244" t="s">
        <v>34</v>
      </c>
      <c r="C244">
        <v>1</v>
      </c>
      <c r="D244">
        <f>_xlfn.XLOOKUP(Order_Report[[#This Row],[SKU]],SKU_Master[SKU],SKU_Master[Weight (g)],"not found")</f>
        <v>133</v>
      </c>
      <c r="E244">
        <f>Order_Report[[#This Row],[order weight ]]*Order_Report[[#This Row],[Order Qty]]</f>
        <v>133</v>
      </c>
    </row>
    <row r="245" spans="1:5" x14ac:dyDescent="0.3">
      <c r="A245">
        <v>2001807981</v>
      </c>
      <c r="B245" t="s">
        <v>30</v>
      </c>
      <c r="C245">
        <v>1</v>
      </c>
      <c r="D245">
        <f>_xlfn.XLOOKUP(Order_Report[[#This Row],[SKU]],SKU_Master[SKU],SKU_Master[Weight (g)],"not found")</f>
        <v>240</v>
      </c>
      <c r="E245">
        <f>Order_Report[[#This Row],[order weight ]]*Order_Report[[#This Row],[Order Qty]]</f>
        <v>240</v>
      </c>
    </row>
    <row r="246" spans="1:5" x14ac:dyDescent="0.3">
      <c r="A246">
        <v>2001807976</v>
      </c>
      <c r="B246" t="s">
        <v>62</v>
      </c>
      <c r="C246">
        <v>1</v>
      </c>
      <c r="D246">
        <f>_xlfn.XLOOKUP(Order_Report[[#This Row],[SKU]],SKU_Master[SKU],SKU_Master[Weight (g)],"not found")</f>
        <v>240</v>
      </c>
      <c r="E246">
        <f>Order_Report[[#This Row],[order weight ]]*Order_Report[[#This Row],[Order Qty]]</f>
        <v>240</v>
      </c>
    </row>
    <row r="247" spans="1:5" x14ac:dyDescent="0.3">
      <c r="A247">
        <v>2001807976</v>
      </c>
      <c r="B247" t="s">
        <v>23</v>
      </c>
      <c r="C247">
        <v>1</v>
      </c>
      <c r="D247">
        <f>_xlfn.XLOOKUP(Order_Report[[#This Row],[SKU]],SKU_Master[SKU],SKU_Master[Weight (g)],"not found")</f>
        <v>240</v>
      </c>
      <c r="E247">
        <f>Order_Report[[#This Row],[order weight ]]*Order_Report[[#This Row],[Order Qty]]</f>
        <v>240</v>
      </c>
    </row>
    <row r="248" spans="1:5" x14ac:dyDescent="0.3">
      <c r="A248">
        <v>2001807976</v>
      </c>
      <c r="B248" t="s">
        <v>24</v>
      </c>
      <c r="C248">
        <v>1</v>
      </c>
      <c r="D248">
        <f>_xlfn.XLOOKUP(Order_Report[[#This Row],[SKU]],SKU_Master[SKU],SKU_Master[Weight (g)],"not found")</f>
        <v>121</v>
      </c>
      <c r="E248">
        <f>Order_Report[[#This Row],[order weight ]]*Order_Report[[#This Row],[Order Qty]]</f>
        <v>121</v>
      </c>
    </row>
    <row r="249" spans="1:5" x14ac:dyDescent="0.3">
      <c r="A249">
        <v>2001807976</v>
      </c>
      <c r="B249" t="s">
        <v>26</v>
      </c>
      <c r="C249">
        <v>1</v>
      </c>
      <c r="D249">
        <f>_xlfn.XLOOKUP(Order_Report[[#This Row],[SKU]],SKU_Master[SKU],SKU_Master[Weight (g)],"not found")</f>
        <v>120</v>
      </c>
      <c r="E249">
        <f>Order_Report[[#This Row],[order weight ]]*Order_Report[[#This Row],[Order Qty]]</f>
        <v>120</v>
      </c>
    </row>
    <row r="250" spans="1:5" x14ac:dyDescent="0.3">
      <c r="A250">
        <v>2001807970</v>
      </c>
      <c r="B250" t="s">
        <v>64</v>
      </c>
      <c r="C250">
        <v>1</v>
      </c>
      <c r="D250">
        <f>_xlfn.XLOOKUP(Order_Report[[#This Row],[SKU]],SKU_Master[SKU],SKU_Master[Weight (g)],"not found")</f>
        <v>600</v>
      </c>
      <c r="E250">
        <f>Order_Report[[#This Row],[order weight ]]*Order_Report[[#This Row],[Order Qty]]</f>
        <v>600</v>
      </c>
    </row>
    <row r="251" spans="1:5" x14ac:dyDescent="0.3">
      <c r="A251">
        <v>2001807970</v>
      </c>
      <c r="B251" t="s">
        <v>15</v>
      </c>
      <c r="C251">
        <v>1</v>
      </c>
      <c r="D251">
        <f>_xlfn.XLOOKUP(Order_Report[[#This Row],[SKU]],SKU_Master[SKU],SKU_Master[Weight (g)],"not found")</f>
        <v>165</v>
      </c>
      <c r="E251">
        <f>Order_Report[[#This Row],[order weight ]]*Order_Report[[#This Row],[Order Qty]]</f>
        <v>165</v>
      </c>
    </row>
    <row r="252" spans="1:5" x14ac:dyDescent="0.3">
      <c r="A252">
        <v>2001807960</v>
      </c>
      <c r="B252" t="s">
        <v>23</v>
      </c>
      <c r="C252">
        <v>1</v>
      </c>
      <c r="D252">
        <f>_xlfn.XLOOKUP(Order_Report[[#This Row],[SKU]],SKU_Master[SKU],SKU_Master[Weight (g)],"not found")</f>
        <v>240</v>
      </c>
      <c r="E252">
        <f>Order_Report[[#This Row],[order weight ]]*Order_Report[[#This Row],[Order Qty]]</f>
        <v>240</v>
      </c>
    </row>
    <row r="253" spans="1:5" x14ac:dyDescent="0.3">
      <c r="A253">
        <v>2001807960</v>
      </c>
      <c r="B253" t="s">
        <v>43</v>
      </c>
      <c r="C253">
        <v>1</v>
      </c>
      <c r="D253">
        <f>_xlfn.XLOOKUP(Order_Report[[#This Row],[SKU]],SKU_Master[SKU],SKU_Master[Weight (g)],"not found")</f>
        <v>240</v>
      </c>
      <c r="E253">
        <f>Order_Report[[#This Row],[order weight ]]*Order_Report[[#This Row],[Order Qty]]</f>
        <v>240</v>
      </c>
    </row>
    <row r="254" spans="1:5" x14ac:dyDescent="0.3">
      <c r="A254">
        <v>2001807960</v>
      </c>
      <c r="B254" t="s">
        <v>30</v>
      </c>
      <c r="C254">
        <v>1</v>
      </c>
      <c r="D254">
        <f>_xlfn.XLOOKUP(Order_Report[[#This Row],[SKU]],SKU_Master[SKU],SKU_Master[Weight (g)],"not found")</f>
        <v>240</v>
      </c>
      <c r="E254">
        <f>Order_Report[[#This Row],[order weight ]]*Order_Report[[#This Row],[Order Qty]]</f>
        <v>240</v>
      </c>
    </row>
    <row r="255" spans="1:5" x14ac:dyDescent="0.3">
      <c r="A255">
        <v>2001807960</v>
      </c>
      <c r="B255" t="s">
        <v>66</v>
      </c>
      <c r="C255">
        <v>1</v>
      </c>
      <c r="D255">
        <f>_xlfn.XLOOKUP(Order_Report[[#This Row],[SKU]],SKU_Master[SKU],SKU_Master[Weight (g)],"not found")</f>
        <v>210</v>
      </c>
      <c r="E255">
        <f>Order_Report[[#This Row],[order weight ]]*Order_Report[[#This Row],[Order Qty]]</f>
        <v>210</v>
      </c>
    </row>
    <row r="256" spans="1:5" x14ac:dyDescent="0.3">
      <c r="A256">
        <v>2001807956</v>
      </c>
      <c r="B256" t="s">
        <v>25</v>
      </c>
      <c r="C256">
        <v>1</v>
      </c>
      <c r="D256">
        <f>_xlfn.XLOOKUP(Order_Report[[#This Row],[SKU]],SKU_Master[SKU],SKU_Master[Weight (g)],"not found")</f>
        <v>127</v>
      </c>
      <c r="E256">
        <f>Order_Report[[#This Row],[order weight ]]*Order_Report[[#This Row],[Order Qty]]</f>
        <v>127</v>
      </c>
    </row>
    <row r="257" spans="1:5" x14ac:dyDescent="0.3">
      <c r="A257">
        <v>2001807956</v>
      </c>
      <c r="B257" t="s">
        <v>34</v>
      </c>
      <c r="C257">
        <v>1</v>
      </c>
      <c r="D257">
        <f>_xlfn.XLOOKUP(Order_Report[[#This Row],[SKU]],SKU_Master[SKU],SKU_Master[Weight (g)],"not found")</f>
        <v>133</v>
      </c>
      <c r="E257">
        <f>Order_Report[[#This Row],[order weight ]]*Order_Report[[#This Row],[Order Qty]]</f>
        <v>133</v>
      </c>
    </row>
    <row r="258" spans="1:5" x14ac:dyDescent="0.3">
      <c r="A258">
        <v>2001807956</v>
      </c>
      <c r="B258" t="s">
        <v>30</v>
      </c>
      <c r="C258">
        <v>1</v>
      </c>
      <c r="D258">
        <f>_xlfn.XLOOKUP(Order_Report[[#This Row],[SKU]],SKU_Master[SKU],SKU_Master[Weight (g)],"not found")</f>
        <v>240</v>
      </c>
      <c r="E258">
        <f>Order_Report[[#This Row],[order weight ]]*Order_Report[[#This Row],[Order Qty]]</f>
        <v>240</v>
      </c>
    </row>
    <row r="259" spans="1:5" x14ac:dyDescent="0.3">
      <c r="A259">
        <v>2001807956</v>
      </c>
      <c r="B259" t="s">
        <v>52</v>
      </c>
      <c r="C259">
        <v>2</v>
      </c>
      <c r="D259">
        <f>_xlfn.XLOOKUP(Order_Report[[#This Row],[SKU]],SKU_Master[SKU],SKU_Master[Weight (g)],"not found")</f>
        <v>290</v>
      </c>
      <c r="E259">
        <f>Order_Report[[#This Row],[order weight ]]*Order_Report[[#This Row],[Order Qty]]</f>
        <v>580</v>
      </c>
    </row>
    <row r="260" spans="1:5" x14ac:dyDescent="0.3">
      <c r="A260">
        <v>2001807931</v>
      </c>
      <c r="B260" t="s">
        <v>25</v>
      </c>
      <c r="C260">
        <v>1</v>
      </c>
      <c r="D260">
        <f>_xlfn.XLOOKUP(Order_Report[[#This Row],[SKU]],SKU_Master[SKU],SKU_Master[Weight (g)],"not found")</f>
        <v>127</v>
      </c>
      <c r="E260">
        <f>Order_Report[[#This Row],[order weight ]]*Order_Report[[#This Row],[Order Qty]]</f>
        <v>127</v>
      </c>
    </row>
    <row r="261" spans="1:5" x14ac:dyDescent="0.3">
      <c r="A261">
        <v>2001807931</v>
      </c>
      <c r="B261" t="s">
        <v>30</v>
      </c>
      <c r="C261">
        <v>1</v>
      </c>
      <c r="D261">
        <f>_xlfn.XLOOKUP(Order_Report[[#This Row],[SKU]],SKU_Master[SKU],SKU_Master[Weight (g)],"not found")</f>
        <v>240</v>
      </c>
      <c r="E261">
        <f>Order_Report[[#This Row],[order weight ]]*Order_Report[[#This Row],[Order Qty]]</f>
        <v>240</v>
      </c>
    </row>
    <row r="262" spans="1:5" x14ac:dyDescent="0.3">
      <c r="A262">
        <v>2001807931</v>
      </c>
      <c r="B262" t="s">
        <v>62</v>
      </c>
      <c r="C262">
        <v>1</v>
      </c>
      <c r="D262">
        <f>_xlfn.XLOOKUP(Order_Report[[#This Row],[SKU]],SKU_Master[SKU],SKU_Master[Weight (g)],"not found")</f>
        <v>240</v>
      </c>
      <c r="E262">
        <f>Order_Report[[#This Row],[order weight ]]*Order_Report[[#This Row],[Order Qty]]</f>
        <v>240</v>
      </c>
    </row>
    <row r="263" spans="1:5" x14ac:dyDescent="0.3">
      <c r="A263">
        <v>2001807930</v>
      </c>
      <c r="B263" t="s">
        <v>62</v>
      </c>
      <c r="C263">
        <v>1</v>
      </c>
      <c r="D263">
        <f>_xlfn.XLOOKUP(Order_Report[[#This Row],[SKU]],SKU_Master[SKU],SKU_Master[Weight (g)],"not found")</f>
        <v>240</v>
      </c>
      <c r="E263">
        <f>Order_Report[[#This Row],[order weight ]]*Order_Report[[#This Row],[Order Qty]]</f>
        <v>240</v>
      </c>
    </row>
    <row r="264" spans="1:5" x14ac:dyDescent="0.3">
      <c r="A264">
        <v>2001807852</v>
      </c>
      <c r="B264" t="s">
        <v>25</v>
      </c>
      <c r="C264">
        <v>1</v>
      </c>
      <c r="D264">
        <f>_xlfn.XLOOKUP(Order_Report[[#This Row],[SKU]],SKU_Master[SKU],SKU_Master[Weight (g)],"not found")</f>
        <v>127</v>
      </c>
      <c r="E264">
        <f>Order_Report[[#This Row],[order weight ]]*Order_Report[[#This Row],[Order Qty]]</f>
        <v>127</v>
      </c>
    </row>
    <row r="265" spans="1:5" x14ac:dyDescent="0.3">
      <c r="A265">
        <v>2001807852</v>
      </c>
      <c r="B265" t="s">
        <v>34</v>
      </c>
      <c r="C265">
        <v>1</v>
      </c>
      <c r="D265">
        <f>_xlfn.XLOOKUP(Order_Report[[#This Row],[SKU]],SKU_Master[SKU],SKU_Master[Weight (g)],"not found")</f>
        <v>133</v>
      </c>
      <c r="E265">
        <f>Order_Report[[#This Row],[order weight ]]*Order_Report[[#This Row],[Order Qty]]</f>
        <v>133</v>
      </c>
    </row>
    <row r="266" spans="1:5" x14ac:dyDescent="0.3">
      <c r="A266">
        <v>2001807852</v>
      </c>
      <c r="B266" t="s">
        <v>30</v>
      </c>
      <c r="C266">
        <v>1</v>
      </c>
      <c r="D266">
        <f>_xlfn.XLOOKUP(Order_Report[[#This Row],[SKU]],SKU_Master[SKU],SKU_Master[Weight (g)],"not found")</f>
        <v>240</v>
      </c>
      <c r="E266">
        <f>Order_Report[[#This Row],[order weight ]]*Order_Report[[#This Row],[Order Qty]]</f>
        <v>240</v>
      </c>
    </row>
    <row r="267" spans="1:5" x14ac:dyDescent="0.3">
      <c r="A267">
        <v>2001807814</v>
      </c>
      <c r="B267" t="s">
        <v>25</v>
      </c>
      <c r="C267">
        <v>1</v>
      </c>
      <c r="D267">
        <f>_xlfn.XLOOKUP(Order_Report[[#This Row],[SKU]],SKU_Master[SKU],SKU_Master[Weight (g)],"not found")</f>
        <v>127</v>
      </c>
      <c r="E267">
        <f>Order_Report[[#This Row],[order weight ]]*Order_Report[[#This Row],[Order Qty]]</f>
        <v>127</v>
      </c>
    </row>
    <row r="268" spans="1:5" x14ac:dyDescent="0.3">
      <c r="A268">
        <v>2001807814</v>
      </c>
      <c r="B268" t="s">
        <v>30</v>
      </c>
      <c r="C268">
        <v>1</v>
      </c>
      <c r="D268">
        <f>_xlfn.XLOOKUP(Order_Report[[#This Row],[SKU]],SKU_Master[SKU],SKU_Master[Weight (g)],"not found")</f>
        <v>240</v>
      </c>
      <c r="E268">
        <f>Order_Report[[#This Row],[order weight ]]*Order_Report[[#This Row],[Order Qty]]</f>
        <v>240</v>
      </c>
    </row>
    <row r="269" spans="1:5" x14ac:dyDescent="0.3">
      <c r="A269">
        <v>2001807814</v>
      </c>
      <c r="B269" t="s">
        <v>62</v>
      </c>
      <c r="C269">
        <v>1</v>
      </c>
      <c r="D269">
        <f>_xlfn.XLOOKUP(Order_Report[[#This Row],[SKU]],SKU_Master[SKU],SKU_Master[Weight (g)],"not found")</f>
        <v>240</v>
      </c>
      <c r="E269">
        <f>Order_Report[[#This Row],[order weight ]]*Order_Report[[#This Row],[Order Qty]]</f>
        <v>240</v>
      </c>
    </row>
    <row r="270" spans="1:5" x14ac:dyDescent="0.3">
      <c r="A270">
        <v>2001807785</v>
      </c>
      <c r="B270" t="s">
        <v>25</v>
      </c>
      <c r="C270">
        <v>1</v>
      </c>
      <c r="D270">
        <f>_xlfn.XLOOKUP(Order_Report[[#This Row],[SKU]],SKU_Master[SKU],SKU_Master[Weight (g)],"not found")</f>
        <v>127</v>
      </c>
      <c r="E270">
        <f>Order_Report[[#This Row],[order weight ]]*Order_Report[[#This Row],[Order Qty]]</f>
        <v>127</v>
      </c>
    </row>
    <row r="271" spans="1:5" x14ac:dyDescent="0.3">
      <c r="A271">
        <v>2001807785</v>
      </c>
      <c r="B271" t="s">
        <v>34</v>
      </c>
      <c r="C271">
        <v>1</v>
      </c>
      <c r="D271">
        <f>_xlfn.XLOOKUP(Order_Report[[#This Row],[SKU]],SKU_Master[SKU],SKU_Master[Weight (g)],"not found")</f>
        <v>133</v>
      </c>
      <c r="E271">
        <f>Order_Report[[#This Row],[order weight ]]*Order_Report[[#This Row],[Order Qty]]</f>
        <v>133</v>
      </c>
    </row>
    <row r="272" spans="1:5" x14ac:dyDescent="0.3">
      <c r="A272">
        <v>2001807785</v>
      </c>
      <c r="B272" t="s">
        <v>30</v>
      </c>
      <c r="C272">
        <v>1</v>
      </c>
      <c r="D272">
        <f>_xlfn.XLOOKUP(Order_Report[[#This Row],[SKU]],SKU_Master[SKU],SKU_Master[Weight (g)],"not found")</f>
        <v>240</v>
      </c>
      <c r="E272">
        <f>Order_Report[[#This Row],[order weight ]]*Order_Report[[#This Row],[Order Qty]]</f>
        <v>240</v>
      </c>
    </row>
    <row r="273" spans="1:5" x14ac:dyDescent="0.3">
      <c r="A273">
        <v>2001807613</v>
      </c>
      <c r="B273" t="s">
        <v>43</v>
      </c>
      <c r="C273">
        <v>1</v>
      </c>
      <c r="D273">
        <f>_xlfn.XLOOKUP(Order_Report[[#This Row],[SKU]],SKU_Master[SKU],SKU_Master[Weight (g)],"not found")</f>
        <v>240</v>
      </c>
      <c r="E273">
        <f>Order_Report[[#This Row],[order weight ]]*Order_Report[[#This Row],[Order Qty]]</f>
        <v>240</v>
      </c>
    </row>
    <row r="274" spans="1:5" x14ac:dyDescent="0.3">
      <c r="A274">
        <v>2001807613</v>
      </c>
      <c r="B274" t="s">
        <v>62</v>
      </c>
      <c r="C274">
        <v>1</v>
      </c>
      <c r="D274">
        <f>_xlfn.XLOOKUP(Order_Report[[#This Row],[SKU]],SKU_Master[SKU],SKU_Master[Weight (g)],"not found")</f>
        <v>240</v>
      </c>
      <c r="E274">
        <f>Order_Report[[#This Row],[order weight ]]*Order_Report[[#This Row],[Order Qty]]</f>
        <v>240</v>
      </c>
    </row>
    <row r="275" spans="1:5" x14ac:dyDescent="0.3">
      <c r="A275">
        <v>2001807613</v>
      </c>
      <c r="B275" t="s">
        <v>47</v>
      </c>
      <c r="C275">
        <v>1</v>
      </c>
      <c r="D275">
        <f>_xlfn.XLOOKUP(Order_Report[[#This Row],[SKU]],SKU_Master[SKU],SKU_Master[Weight (g)],"not found")</f>
        <v>350</v>
      </c>
      <c r="E275">
        <f>Order_Report[[#This Row],[order weight ]]*Order_Report[[#This Row],[Order Qty]]</f>
        <v>350</v>
      </c>
    </row>
    <row r="276" spans="1:5" x14ac:dyDescent="0.3">
      <c r="A276">
        <v>2001807415</v>
      </c>
      <c r="B276" t="s">
        <v>30</v>
      </c>
      <c r="C276">
        <v>2</v>
      </c>
      <c r="D276">
        <f>_xlfn.XLOOKUP(Order_Report[[#This Row],[SKU]],SKU_Master[SKU],SKU_Master[Weight (g)],"not found")</f>
        <v>240</v>
      </c>
      <c r="E276">
        <f>Order_Report[[#This Row],[order weight ]]*Order_Report[[#This Row],[Order Qty]]</f>
        <v>480</v>
      </c>
    </row>
    <row r="277" spans="1:5" x14ac:dyDescent="0.3">
      <c r="A277">
        <v>2001807415</v>
      </c>
      <c r="B277" t="s">
        <v>26</v>
      </c>
      <c r="C277">
        <v>1</v>
      </c>
      <c r="D277">
        <f>_xlfn.XLOOKUP(Order_Report[[#This Row],[SKU]],SKU_Master[SKU],SKU_Master[Weight (g)],"not found")</f>
        <v>120</v>
      </c>
      <c r="E277">
        <f>Order_Report[[#This Row],[order weight ]]*Order_Report[[#This Row],[Order Qty]]</f>
        <v>120</v>
      </c>
    </row>
    <row r="278" spans="1:5" x14ac:dyDescent="0.3">
      <c r="A278">
        <v>2001807415</v>
      </c>
      <c r="B278" t="s">
        <v>35</v>
      </c>
      <c r="C278">
        <v>4</v>
      </c>
      <c r="D278">
        <f>_xlfn.XLOOKUP(Order_Report[[#This Row],[SKU]],SKU_Master[SKU],SKU_Master[Weight (g)],"not found")</f>
        <v>112</v>
      </c>
      <c r="E278">
        <f>Order_Report[[#This Row],[order weight ]]*Order_Report[[#This Row],[Order Qty]]</f>
        <v>448</v>
      </c>
    </row>
    <row r="279" spans="1:5" x14ac:dyDescent="0.3">
      <c r="A279">
        <v>2001807362</v>
      </c>
      <c r="B279" t="s">
        <v>36</v>
      </c>
      <c r="C279">
        <v>6</v>
      </c>
      <c r="D279">
        <f>_xlfn.XLOOKUP(Order_Report[[#This Row],[SKU]],SKU_Master[SKU],SKU_Master[Weight (g)],"not found")</f>
        <v>112</v>
      </c>
      <c r="E279">
        <f>Order_Report[[#This Row],[order weight ]]*Order_Report[[#This Row],[Order Qty]]</f>
        <v>672</v>
      </c>
    </row>
    <row r="280" spans="1:5" x14ac:dyDescent="0.3">
      <c r="A280">
        <v>2001807362</v>
      </c>
      <c r="B280" t="s">
        <v>35</v>
      </c>
      <c r="C280">
        <v>6</v>
      </c>
      <c r="D280">
        <f>_xlfn.XLOOKUP(Order_Report[[#This Row],[SKU]],SKU_Master[SKU],SKU_Master[Weight (g)],"not found")</f>
        <v>112</v>
      </c>
      <c r="E280">
        <f>Order_Report[[#This Row],[order weight ]]*Order_Report[[#This Row],[Order Qty]]</f>
        <v>672</v>
      </c>
    </row>
    <row r="281" spans="1:5" x14ac:dyDescent="0.3">
      <c r="A281">
        <v>2001807362</v>
      </c>
      <c r="B281" t="s">
        <v>54</v>
      </c>
      <c r="C281">
        <v>2</v>
      </c>
      <c r="D281">
        <f>_xlfn.XLOOKUP(Order_Report[[#This Row],[SKU]],SKU_Master[SKU],SKU_Master[Weight (g)],"not found")</f>
        <v>112</v>
      </c>
      <c r="E281">
        <f>Order_Report[[#This Row],[order weight ]]*Order_Report[[#This Row],[Order Qty]]</f>
        <v>224</v>
      </c>
    </row>
    <row r="282" spans="1:5" x14ac:dyDescent="0.3">
      <c r="A282">
        <v>2001807362</v>
      </c>
      <c r="B282" t="s">
        <v>36</v>
      </c>
      <c r="C282">
        <v>2</v>
      </c>
      <c r="D282">
        <f>_xlfn.XLOOKUP(Order_Report[[#This Row],[SKU]],SKU_Master[SKU],SKU_Master[Weight (g)],"not found")</f>
        <v>112</v>
      </c>
      <c r="E282">
        <f>Order_Report[[#This Row],[order weight ]]*Order_Report[[#This Row],[Order Qty]]</f>
        <v>224</v>
      </c>
    </row>
    <row r="283" spans="1:5" x14ac:dyDescent="0.3">
      <c r="A283">
        <v>2001807362</v>
      </c>
      <c r="B283" t="s">
        <v>35</v>
      </c>
      <c r="C283">
        <v>2</v>
      </c>
      <c r="D283">
        <f>_xlfn.XLOOKUP(Order_Report[[#This Row],[SKU]],SKU_Master[SKU],SKU_Master[Weight (g)],"not found")</f>
        <v>112</v>
      </c>
      <c r="E283">
        <f>Order_Report[[#This Row],[order weight ]]*Order_Report[[#This Row],[Order Qty]]</f>
        <v>224</v>
      </c>
    </row>
    <row r="284" spans="1:5" x14ac:dyDescent="0.3">
      <c r="A284">
        <v>2001807329</v>
      </c>
      <c r="B284" t="s">
        <v>25</v>
      </c>
      <c r="C284">
        <v>1</v>
      </c>
      <c r="D284">
        <f>_xlfn.XLOOKUP(Order_Report[[#This Row],[SKU]],SKU_Master[SKU],SKU_Master[Weight (g)],"not found")</f>
        <v>127</v>
      </c>
      <c r="E284">
        <f>Order_Report[[#This Row],[order weight ]]*Order_Report[[#This Row],[Order Qty]]</f>
        <v>127</v>
      </c>
    </row>
    <row r="285" spans="1:5" x14ac:dyDescent="0.3">
      <c r="A285">
        <v>2001807329</v>
      </c>
      <c r="B285" t="s">
        <v>34</v>
      </c>
      <c r="C285">
        <v>1</v>
      </c>
      <c r="D285">
        <f>_xlfn.XLOOKUP(Order_Report[[#This Row],[SKU]],SKU_Master[SKU],SKU_Master[Weight (g)],"not found")</f>
        <v>133</v>
      </c>
      <c r="E285">
        <f>Order_Report[[#This Row],[order weight ]]*Order_Report[[#This Row],[Order Qty]]</f>
        <v>133</v>
      </c>
    </row>
    <row r="286" spans="1:5" x14ac:dyDescent="0.3">
      <c r="A286">
        <v>2001807329</v>
      </c>
      <c r="B286" t="s">
        <v>30</v>
      </c>
      <c r="C286">
        <v>1</v>
      </c>
      <c r="D286">
        <f>_xlfn.XLOOKUP(Order_Report[[#This Row],[SKU]],SKU_Master[SKU],SKU_Master[Weight (g)],"not found")</f>
        <v>240</v>
      </c>
      <c r="E286">
        <f>Order_Report[[#This Row],[order weight ]]*Order_Report[[#This Row],[Order Qty]]</f>
        <v>240</v>
      </c>
    </row>
    <row r="287" spans="1:5" x14ac:dyDescent="0.3">
      <c r="A287">
        <v>2001807328</v>
      </c>
      <c r="B287" t="s">
        <v>33</v>
      </c>
      <c r="C287">
        <v>1</v>
      </c>
      <c r="D287">
        <f>_xlfn.XLOOKUP(Order_Report[[#This Row],[SKU]],SKU_Master[SKU],SKU_Master[Weight (g)],"not found")</f>
        <v>490</v>
      </c>
      <c r="E287">
        <f>Order_Report[[#This Row],[order weight ]]*Order_Report[[#This Row],[Order Qty]]</f>
        <v>490</v>
      </c>
    </row>
    <row r="288" spans="1:5" x14ac:dyDescent="0.3">
      <c r="A288">
        <v>2001807290</v>
      </c>
      <c r="B288" t="s">
        <v>25</v>
      </c>
      <c r="C288">
        <v>1</v>
      </c>
      <c r="D288">
        <f>_xlfn.XLOOKUP(Order_Report[[#This Row],[SKU]],SKU_Master[SKU],SKU_Master[Weight (g)],"not found")</f>
        <v>127</v>
      </c>
      <c r="E288">
        <f>Order_Report[[#This Row],[order weight ]]*Order_Report[[#This Row],[Order Qty]]</f>
        <v>127</v>
      </c>
    </row>
    <row r="289" spans="1:5" x14ac:dyDescent="0.3">
      <c r="A289">
        <v>2001807290</v>
      </c>
      <c r="B289" t="s">
        <v>34</v>
      </c>
      <c r="C289">
        <v>1</v>
      </c>
      <c r="D289">
        <f>_xlfn.XLOOKUP(Order_Report[[#This Row],[SKU]],SKU_Master[SKU],SKU_Master[Weight (g)],"not found")</f>
        <v>133</v>
      </c>
      <c r="E289">
        <f>Order_Report[[#This Row],[order weight ]]*Order_Report[[#This Row],[Order Qty]]</f>
        <v>133</v>
      </c>
    </row>
    <row r="290" spans="1:5" x14ac:dyDescent="0.3">
      <c r="A290">
        <v>2001807290</v>
      </c>
      <c r="B290" t="s">
        <v>30</v>
      </c>
      <c r="C290">
        <v>1</v>
      </c>
      <c r="D290">
        <f>_xlfn.XLOOKUP(Order_Report[[#This Row],[SKU]],SKU_Master[SKU],SKU_Master[Weight (g)],"not found")</f>
        <v>240</v>
      </c>
      <c r="E290">
        <f>Order_Report[[#This Row],[order weight ]]*Order_Report[[#This Row],[Order Qty]]</f>
        <v>240</v>
      </c>
    </row>
    <row r="291" spans="1:5" x14ac:dyDescent="0.3">
      <c r="A291">
        <v>2001807241</v>
      </c>
      <c r="B291" t="s">
        <v>25</v>
      </c>
      <c r="C291">
        <v>1</v>
      </c>
      <c r="D291">
        <f>_xlfn.XLOOKUP(Order_Report[[#This Row],[SKU]],SKU_Master[SKU],SKU_Master[Weight (g)],"not found")</f>
        <v>127</v>
      </c>
      <c r="E291">
        <f>Order_Report[[#This Row],[order weight ]]*Order_Report[[#This Row],[Order Qty]]</f>
        <v>127</v>
      </c>
    </row>
    <row r="292" spans="1:5" x14ac:dyDescent="0.3">
      <c r="A292">
        <v>2001807241</v>
      </c>
      <c r="B292" t="s">
        <v>30</v>
      </c>
      <c r="C292">
        <v>1</v>
      </c>
      <c r="D292">
        <f>_xlfn.XLOOKUP(Order_Report[[#This Row],[SKU]],SKU_Master[SKU],SKU_Master[Weight (g)],"not found")</f>
        <v>240</v>
      </c>
      <c r="E292">
        <f>Order_Report[[#This Row],[order weight ]]*Order_Report[[#This Row],[Order Qty]]</f>
        <v>240</v>
      </c>
    </row>
    <row r="293" spans="1:5" x14ac:dyDescent="0.3">
      <c r="A293">
        <v>2001807241</v>
      </c>
      <c r="B293" t="s">
        <v>62</v>
      </c>
      <c r="C293">
        <v>1</v>
      </c>
      <c r="D293">
        <f>_xlfn.XLOOKUP(Order_Report[[#This Row],[SKU]],SKU_Master[SKU],SKU_Master[Weight (g)],"not found")</f>
        <v>240</v>
      </c>
      <c r="E293">
        <f>Order_Report[[#This Row],[order weight ]]*Order_Report[[#This Row],[Order Qty]]</f>
        <v>240</v>
      </c>
    </row>
    <row r="294" spans="1:5" x14ac:dyDescent="0.3">
      <c r="A294">
        <v>2001807186</v>
      </c>
      <c r="B294" t="s">
        <v>25</v>
      </c>
      <c r="C294">
        <v>1</v>
      </c>
      <c r="D294">
        <f>_xlfn.XLOOKUP(Order_Report[[#This Row],[SKU]],SKU_Master[SKU],SKU_Master[Weight (g)],"not found")</f>
        <v>127</v>
      </c>
      <c r="E294">
        <f>Order_Report[[#This Row],[order weight ]]*Order_Report[[#This Row],[Order Qty]]</f>
        <v>127</v>
      </c>
    </row>
    <row r="295" spans="1:5" x14ac:dyDescent="0.3">
      <c r="A295">
        <v>2001807186</v>
      </c>
      <c r="B295" t="s">
        <v>34</v>
      </c>
      <c r="C295">
        <v>1</v>
      </c>
      <c r="D295">
        <f>_xlfn.XLOOKUP(Order_Report[[#This Row],[SKU]],SKU_Master[SKU],SKU_Master[Weight (g)],"not found")</f>
        <v>133</v>
      </c>
      <c r="E295">
        <f>Order_Report[[#This Row],[order weight ]]*Order_Report[[#This Row],[Order Qty]]</f>
        <v>133</v>
      </c>
    </row>
    <row r="296" spans="1:5" x14ac:dyDescent="0.3">
      <c r="A296">
        <v>2001807186</v>
      </c>
      <c r="B296" t="s">
        <v>30</v>
      </c>
      <c r="C296">
        <v>1</v>
      </c>
      <c r="D296">
        <f>_xlfn.XLOOKUP(Order_Report[[#This Row],[SKU]],SKU_Master[SKU],SKU_Master[Weight (g)],"not found")</f>
        <v>240</v>
      </c>
      <c r="E296">
        <f>Order_Report[[#This Row],[order weight ]]*Order_Report[[#This Row],[Order Qty]]</f>
        <v>240</v>
      </c>
    </row>
    <row r="297" spans="1:5" x14ac:dyDescent="0.3">
      <c r="A297">
        <v>2001807084</v>
      </c>
      <c r="B297" t="s">
        <v>25</v>
      </c>
      <c r="C297">
        <v>1</v>
      </c>
      <c r="D297">
        <f>_xlfn.XLOOKUP(Order_Report[[#This Row],[SKU]],SKU_Master[SKU],SKU_Master[Weight (g)],"not found")</f>
        <v>127</v>
      </c>
      <c r="E297">
        <f>Order_Report[[#This Row],[order weight ]]*Order_Report[[#This Row],[Order Qty]]</f>
        <v>127</v>
      </c>
    </row>
    <row r="298" spans="1:5" x14ac:dyDescent="0.3">
      <c r="A298">
        <v>2001807084</v>
      </c>
      <c r="B298" t="s">
        <v>34</v>
      </c>
      <c r="C298">
        <v>1</v>
      </c>
      <c r="D298">
        <f>_xlfn.XLOOKUP(Order_Report[[#This Row],[SKU]],SKU_Master[SKU],SKU_Master[Weight (g)],"not found")</f>
        <v>133</v>
      </c>
      <c r="E298">
        <f>Order_Report[[#This Row],[order weight ]]*Order_Report[[#This Row],[Order Qty]]</f>
        <v>133</v>
      </c>
    </row>
    <row r="299" spans="1:5" x14ac:dyDescent="0.3">
      <c r="A299">
        <v>2001807084</v>
      </c>
      <c r="B299" t="s">
        <v>30</v>
      </c>
      <c r="C299">
        <v>1</v>
      </c>
      <c r="D299">
        <f>_xlfn.XLOOKUP(Order_Report[[#This Row],[SKU]],SKU_Master[SKU],SKU_Master[Weight (g)],"not found")</f>
        <v>240</v>
      </c>
      <c r="E299">
        <f>Order_Report[[#This Row],[order weight ]]*Order_Report[[#This Row],[Order Qty]]</f>
        <v>240</v>
      </c>
    </row>
    <row r="300" spans="1:5" x14ac:dyDescent="0.3">
      <c r="A300">
        <v>2001807058</v>
      </c>
      <c r="B300" t="s">
        <v>51</v>
      </c>
      <c r="C300">
        <v>1</v>
      </c>
      <c r="D300">
        <f>_xlfn.XLOOKUP(Order_Report[[#This Row],[SKU]],SKU_Master[SKU],SKU_Master[Weight (g)],"not found")</f>
        <v>290</v>
      </c>
      <c r="E300">
        <f>Order_Report[[#This Row],[order weight ]]*Order_Report[[#This Row],[Order Qty]]</f>
        <v>290</v>
      </c>
    </row>
    <row r="301" spans="1:5" x14ac:dyDescent="0.3">
      <c r="A301">
        <v>2001807058</v>
      </c>
      <c r="B301" t="s">
        <v>52</v>
      </c>
      <c r="C301">
        <v>1</v>
      </c>
      <c r="D301">
        <f>_xlfn.XLOOKUP(Order_Report[[#This Row],[SKU]],SKU_Master[SKU],SKU_Master[Weight (g)],"not found")</f>
        <v>290</v>
      </c>
      <c r="E301">
        <f>Order_Report[[#This Row],[order weight ]]*Order_Report[[#This Row],[Order Qty]]</f>
        <v>290</v>
      </c>
    </row>
    <row r="302" spans="1:5" x14ac:dyDescent="0.3">
      <c r="A302">
        <v>2001807058</v>
      </c>
      <c r="B302" t="s">
        <v>53</v>
      </c>
      <c r="C302">
        <v>1</v>
      </c>
      <c r="D302">
        <f>_xlfn.XLOOKUP(Order_Report[[#This Row],[SKU]],SKU_Master[SKU],SKU_Master[Weight (g)],"not found")</f>
        <v>290</v>
      </c>
      <c r="E302">
        <f>Order_Report[[#This Row],[order weight ]]*Order_Report[[#This Row],[Order Qty]]</f>
        <v>290</v>
      </c>
    </row>
    <row r="303" spans="1:5" x14ac:dyDescent="0.3">
      <c r="A303">
        <v>2001807058</v>
      </c>
      <c r="B303" t="s">
        <v>26</v>
      </c>
      <c r="C303">
        <v>1</v>
      </c>
      <c r="D303">
        <f>_xlfn.XLOOKUP(Order_Report[[#This Row],[SKU]],SKU_Master[SKU],SKU_Master[Weight (g)],"not found")</f>
        <v>120</v>
      </c>
      <c r="E303">
        <f>Order_Report[[#This Row],[order weight ]]*Order_Report[[#This Row],[Order Qty]]</f>
        <v>120</v>
      </c>
    </row>
    <row r="304" spans="1:5" x14ac:dyDescent="0.3">
      <c r="A304">
        <v>2001807058</v>
      </c>
      <c r="B304" t="s">
        <v>12</v>
      </c>
      <c r="C304">
        <v>1</v>
      </c>
      <c r="D304">
        <f>_xlfn.XLOOKUP(Order_Report[[#This Row],[SKU]],SKU_Master[SKU],SKU_Master[Weight (g)],"not found")</f>
        <v>65</v>
      </c>
      <c r="E304">
        <f>Order_Report[[#This Row],[order weight ]]*Order_Report[[#This Row],[Order Qty]]</f>
        <v>65</v>
      </c>
    </row>
    <row r="305" spans="1:5" x14ac:dyDescent="0.3">
      <c r="A305">
        <v>2001807058</v>
      </c>
      <c r="B305" t="s">
        <v>29</v>
      </c>
      <c r="C305">
        <v>1</v>
      </c>
      <c r="D305">
        <f>_xlfn.XLOOKUP(Order_Report[[#This Row],[SKU]],SKU_Master[SKU],SKU_Master[Weight (g)],"not found")</f>
        <v>113</v>
      </c>
      <c r="E305">
        <f>Order_Report[[#This Row],[order weight ]]*Order_Report[[#This Row],[Order Qty]]</f>
        <v>113</v>
      </c>
    </row>
    <row r="306" spans="1:5" x14ac:dyDescent="0.3">
      <c r="A306">
        <v>2001807036</v>
      </c>
      <c r="B306" t="s">
        <v>54</v>
      </c>
      <c r="C306">
        <v>4</v>
      </c>
      <c r="D306">
        <f>_xlfn.XLOOKUP(Order_Report[[#This Row],[SKU]],SKU_Master[SKU],SKU_Master[Weight (g)],"not found")</f>
        <v>112</v>
      </c>
      <c r="E306">
        <f>Order_Report[[#This Row],[order weight ]]*Order_Report[[#This Row],[Order Qty]]</f>
        <v>448</v>
      </c>
    </row>
    <row r="307" spans="1:5" x14ac:dyDescent="0.3">
      <c r="A307">
        <v>2001807036</v>
      </c>
      <c r="B307" t="s">
        <v>36</v>
      </c>
      <c r="C307">
        <v>4</v>
      </c>
      <c r="D307">
        <f>_xlfn.XLOOKUP(Order_Report[[#This Row],[SKU]],SKU_Master[SKU],SKU_Master[Weight (g)],"not found")</f>
        <v>112</v>
      </c>
      <c r="E307">
        <f>Order_Report[[#This Row],[order weight ]]*Order_Report[[#This Row],[Order Qty]]</f>
        <v>448</v>
      </c>
    </row>
    <row r="308" spans="1:5" x14ac:dyDescent="0.3">
      <c r="A308">
        <v>2001807036</v>
      </c>
      <c r="B308" t="s">
        <v>35</v>
      </c>
      <c r="C308">
        <v>4</v>
      </c>
      <c r="D308">
        <f>_xlfn.XLOOKUP(Order_Report[[#This Row],[SKU]],SKU_Master[SKU],SKU_Master[Weight (g)],"not found")</f>
        <v>112</v>
      </c>
      <c r="E308">
        <f>Order_Report[[#This Row],[order weight ]]*Order_Report[[#This Row],[Order Qty]]</f>
        <v>448</v>
      </c>
    </row>
    <row r="309" spans="1:5" x14ac:dyDescent="0.3">
      <c r="A309">
        <v>2001807036</v>
      </c>
      <c r="B309" t="s">
        <v>38</v>
      </c>
      <c r="C309">
        <v>1</v>
      </c>
      <c r="D309">
        <f>_xlfn.XLOOKUP(Order_Report[[#This Row],[SKU]],SKU_Master[SKU],SKU_Master[Weight (g)],"not found")</f>
        <v>115</v>
      </c>
      <c r="E309">
        <f>Order_Report[[#This Row],[order weight ]]*Order_Report[[#This Row],[Order Qty]]</f>
        <v>115</v>
      </c>
    </row>
    <row r="310" spans="1:5" x14ac:dyDescent="0.3">
      <c r="A310">
        <v>2001807012</v>
      </c>
      <c r="B310" t="s">
        <v>62</v>
      </c>
      <c r="C310">
        <v>1</v>
      </c>
      <c r="D310">
        <f>_xlfn.XLOOKUP(Order_Report[[#This Row],[SKU]],SKU_Master[SKU],SKU_Master[Weight (g)],"not found")</f>
        <v>240</v>
      </c>
      <c r="E310">
        <f>Order_Report[[#This Row],[order weight ]]*Order_Report[[#This Row],[Order Qty]]</f>
        <v>240</v>
      </c>
    </row>
    <row r="311" spans="1:5" x14ac:dyDescent="0.3">
      <c r="A311">
        <v>2001807004</v>
      </c>
      <c r="B311" t="s">
        <v>25</v>
      </c>
      <c r="C311">
        <v>1</v>
      </c>
      <c r="D311">
        <f>_xlfn.XLOOKUP(Order_Report[[#This Row],[SKU]],SKU_Master[SKU],SKU_Master[Weight (g)],"not found")</f>
        <v>127</v>
      </c>
      <c r="E311">
        <f>Order_Report[[#This Row],[order weight ]]*Order_Report[[#This Row],[Order Qty]]</f>
        <v>127</v>
      </c>
    </row>
    <row r="312" spans="1:5" x14ac:dyDescent="0.3">
      <c r="A312">
        <v>2001807004</v>
      </c>
      <c r="B312" t="s">
        <v>34</v>
      </c>
      <c r="C312">
        <v>1</v>
      </c>
      <c r="D312">
        <f>_xlfn.XLOOKUP(Order_Report[[#This Row],[SKU]],SKU_Master[SKU],SKU_Master[Weight (g)],"not found")</f>
        <v>133</v>
      </c>
      <c r="E312">
        <f>Order_Report[[#This Row],[order weight ]]*Order_Report[[#This Row],[Order Qty]]</f>
        <v>133</v>
      </c>
    </row>
    <row r="313" spans="1:5" x14ac:dyDescent="0.3">
      <c r="A313">
        <v>2001807004</v>
      </c>
      <c r="B313" t="s">
        <v>30</v>
      </c>
      <c r="C313">
        <v>1</v>
      </c>
      <c r="D313">
        <f>_xlfn.XLOOKUP(Order_Report[[#This Row],[SKU]],SKU_Master[SKU],SKU_Master[Weight (g)],"not found")</f>
        <v>240</v>
      </c>
      <c r="E313">
        <f>Order_Report[[#This Row],[order weight ]]*Order_Report[[#This Row],[Order Qty]]</f>
        <v>240</v>
      </c>
    </row>
    <row r="314" spans="1:5" x14ac:dyDescent="0.3">
      <c r="A314">
        <v>2001806968</v>
      </c>
      <c r="B314" t="s">
        <v>25</v>
      </c>
      <c r="C314">
        <v>1</v>
      </c>
      <c r="D314">
        <f>_xlfn.XLOOKUP(Order_Report[[#This Row],[SKU]],SKU_Master[SKU],SKU_Master[Weight (g)],"not found")</f>
        <v>127</v>
      </c>
      <c r="E314">
        <f>Order_Report[[#This Row],[order weight ]]*Order_Report[[#This Row],[Order Qty]]</f>
        <v>127</v>
      </c>
    </row>
    <row r="315" spans="1:5" x14ac:dyDescent="0.3">
      <c r="A315">
        <v>2001806968</v>
      </c>
      <c r="B315" t="s">
        <v>34</v>
      </c>
      <c r="C315">
        <v>1</v>
      </c>
      <c r="D315">
        <f>_xlfn.XLOOKUP(Order_Report[[#This Row],[SKU]],SKU_Master[SKU],SKU_Master[Weight (g)],"not found")</f>
        <v>133</v>
      </c>
      <c r="E315">
        <f>Order_Report[[#This Row],[order weight ]]*Order_Report[[#This Row],[Order Qty]]</f>
        <v>133</v>
      </c>
    </row>
    <row r="316" spans="1:5" x14ac:dyDescent="0.3">
      <c r="A316">
        <v>2001806968</v>
      </c>
      <c r="B316" t="s">
        <v>30</v>
      </c>
      <c r="C316">
        <v>1</v>
      </c>
      <c r="D316">
        <f>_xlfn.XLOOKUP(Order_Report[[#This Row],[SKU]],SKU_Master[SKU],SKU_Master[Weight (g)],"not found")</f>
        <v>240</v>
      </c>
      <c r="E316">
        <f>Order_Report[[#This Row],[order weight ]]*Order_Report[[#This Row],[Order Qty]]</f>
        <v>240</v>
      </c>
    </row>
    <row r="317" spans="1:5" x14ac:dyDescent="0.3">
      <c r="A317">
        <v>2001806885</v>
      </c>
      <c r="B317" t="s">
        <v>67</v>
      </c>
      <c r="C317">
        <v>2</v>
      </c>
      <c r="D317">
        <f>_xlfn.XLOOKUP(Order_Report[[#This Row],[SKU]],SKU_Master[SKU],SKU_Master[Weight (g)],"not found")</f>
        <v>210</v>
      </c>
      <c r="E317">
        <f>Order_Report[[#This Row],[order weight ]]*Order_Report[[#This Row],[Order Qty]]</f>
        <v>420</v>
      </c>
    </row>
    <row r="318" spans="1:5" x14ac:dyDescent="0.3">
      <c r="A318">
        <v>2001806828</v>
      </c>
      <c r="B318" t="s">
        <v>25</v>
      </c>
      <c r="C318">
        <v>1</v>
      </c>
      <c r="D318">
        <f>_xlfn.XLOOKUP(Order_Report[[#This Row],[SKU]],SKU_Master[SKU],SKU_Master[Weight (g)],"not found")</f>
        <v>127</v>
      </c>
      <c r="E318">
        <f>Order_Report[[#This Row],[order weight ]]*Order_Report[[#This Row],[Order Qty]]</f>
        <v>127</v>
      </c>
    </row>
    <row r="319" spans="1:5" x14ac:dyDescent="0.3">
      <c r="A319">
        <v>2001806828</v>
      </c>
      <c r="B319" t="s">
        <v>34</v>
      </c>
      <c r="C319">
        <v>1</v>
      </c>
      <c r="D319">
        <f>_xlfn.XLOOKUP(Order_Report[[#This Row],[SKU]],SKU_Master[SKU],SKU_Master[Weight (g)],"not found")</f>
        <v>133</v>
      </c>
      <c r="E319">
        <f>Order_Report[[#This Row],[order weight ]]*Order_Report[[#This Row],[Order Qty]]</f>
        <v>133</v>
      </c>
    </row>
    <row r="320" spans="1:5" x14ac:dyDescent="0.3">
      <c r="A320">
        <v>2001806828</v>
      </c>
      <c r="B320" t="s">
        <v>30</v>
      </c>
      <c r="C320">
        <v>1</v>
      </c>
      <c r="D320">
        <f>_xlfn.XLOOKUP(Order_Report[[#This Row],[SKU]],SKU_Master[SKU],SKU_Master[Weight (g)],"not found")</f>
        <v>240</v>
      </c>
      <c r="E320">
        <f>Order_Report[[#This Row],[order weight ]]*Order_Report[[#This Row],[Order Qty]]</f>
        <v>240</v>
      </c>
    </row>
    <row r="321" spans="1:5" x14ac:dyDescent="0.3">
      <c r="A321">
        <v>2001806823</v>
      </c>
      <c r="B321" t="s">
        <v>25</v>
      </c>
      <c r="C321">
        <v>1</v>
      </c>
      <c r="D321">
        <f>_xlfn.XLOOKUP(Order_Report[[#This Row],[SKU]],SKU_Master[SKU],SKU_Master[Weight (g)],"not found")</f>
        <v>127</v>
      </c>
      <c r="E321">
        <f>Order_Report[[#This Row],[order weight ]]*Order_Report[[#This Row],[Order Qty]]</f>
        <v>127</v>
      </c>
    </row>
    <row r="322" spans="1:5" x14ac:dyDescent="0.3">
      <c r="A322">
        <v>2001806801</v>
      </c>
      <c r="B322" t="s">
        <v>30</v>
      </c>
      <c r="C322">
        <v>1</v>
      </c>
      <c r="D322">
        <f>_xlfn.XLOOKUP(Order_Report[[#This Row],[SKU]],SKU_Master[SKU],SKU_Master[Weight (g)],"not found")</f>
        <v>240</v>
      </c>
      <c r="E322">
        <f>Order_Report[[#This Row],[order weight ]]*Order_Report[[#This Row],[Order Qty]]</f>
        <v>240</v>
      </c>
    </row>
    <row r="323" spans="1:5" x14ac:dyDescent="0.3">
      <c r="A323">
        <v>2001806801</v>
      </c>
      <c r="B323" t="s">
        <v>24</v>
      </c>
      <c r="C323">
        <v>1</v>
      </c>
      <c r="D323">
        <f>_xlfn.XLOOKUP(Order_Report[[#This Row],[SKU]],SKU_Master[SKU],SKU_Master[Weight (g)],"not found")</f>
        <v>121</v>
      </c>
      <c r="E323">
        <f>Order_Report[[#This Row],[order weight ]]*Order_Report[[#This Row],[Order Qty]]</f>
        <v>121</v>
      </c>
    </row>
    <row r="324" spans="1:5" x14ac:dyDescent="0.3">
      <c r="A324">
        <v>2001806776</v>
      </c>
      <c r="B324" t="s">
        <v>25</v>
      </c>
      <c r="C324">
        <v>1</v>
      </c>
      <c r="D324">
        <f>_xlfn.XLOOKUP(Order_Report[[#This Row],[SKU]],SKU_Master[SKU],SKU_Master[Weight (g)],"not found")</f>
        <v>127</v>
      </c>
      <c r="E324">
        <f>Order_Report[[#This Row],[order weight ]]*Order_Report[[#This Row],[Order Qty]]</f>
        <v>127</v>
      </c>
    </row>
    <row r="325" spans="1:5" x14ac:dyDescent="0.3">
      <c r="A325">
        <v>2001806776</v>
      </c>
      <c r="B325" t="s">
        <v>21</v>
      </c>
      <c r="C325">
        <v>2</v>
      </c>
      <c r="D325">
        <f>_xlfn.XLOOKUP(Order_Report[[#This Row],[SKU]],SKU_Master[SKU],SKU_Master[Weight (g)],"not found")</f>
        <v>137</v>
      </c>
      <c r="E325">
        <f>Order_Report[[#This Row],[order weight ]]*Order_Report[[#This Row],[Order Qty]]</f>
        <v>274</v>
      </c>
    </row>
    <row r="326" spans="1:5" x14ac:dyDescent="0.3">
      <c r="A326">
        <v>2001806776</v>
      </c>
      <c r="B326" t="s">
        <v>66</v>
      </c>
      <c r="C326">
        <v>1</v>
      </c>
      <c r="D326">
        <f>_xlfn.XLOOKUP(Order_Report[[#This Row],[SKU]],SKU_Master[SKU],SKU_Master[Weight (g)],"not found")</f>
        <v>210</v>
      </c>
      <c r="E326">
        <f>Order_Report[[#This Row],[order weight ]]*Order_Report[[#This Row],[Order Qty]]</f>
        <v>210</v>
      </c>
    </row>
    <row r="327" spans="1:5" x14ac:dyDescent="0.3">
      <c r="A327">
        <v>2001806768</v>
      </c>
      <c r="B327" t="s">
        <v>68</v>
      </c>
      <c r="C327">
        <v>4</v>
      </c>
      <c r="D327">
        <f>_xlfn.XLOOKUP(Order_Report[[#This Row],[SKU]],SKU_Master[SKU],SKU_Master[Weight (g)],"not found")</f>
        <v>210</v>
      </c>
      <c r="E327">
        <f>Order_Report[[#This Row],[order weight ]]*Order_Report[[#This Row],[Order Qty]]</f>
        <v>840</v>
      </c>
    </row>
    <row r="328" spans="1:5" x14ac:dyDescent="0.3">
      <c r="A328">
        <v>2001806735</v>
      </c>
      <c r="B328" t="s">
        <v>25</v>
      </c>
      <c r="C328">
        <v>1</v>
      </c>
      <c r="D328">
        <f>_xlfn.XLOOKUP(Order_Report[[#This Row],[SKU]],SKU_Master[SKU],SKU_Master[Weight (g)],"not found")</f>
        <v>127</v>
      </c>
      <c r="E328">
        <f>Order_Report[[#This Row],[order weight ]]*Order_Report[[#This Row],[Order Qty]]</f>
        <v>127</v>
      </c>
    </row>
    <row r="329" spans="1:5" x14ac:dyDescent="0.3">
      <c r="A329">
        <v>2001806735</v>
      </c>
      <c r="B329" t="s">
        <v>34</v>
      </c>
      <c r="C329">
        <v>1</v>
      </c>
      <c r="D329">
        <f>_xlfn.XLOOKUP(Order_Report[[#This Row],[SKU]],SKU_Master[SKU],SKU_Master[Weight (g)],"not found")</f>
        <v>133</v>
      </c>
      <c r="E329">
        <f>Order_Report[[#This Row],[order weight ]]*Order_Report[[#This Row],[Order Qty]]</f>
        <v>133</v>
      </c>
    </row>
    <row r="330" spans="1:5" x14ac:dyDescent="0.3">
      <c r="A330">
        <v>2001806735</v>
      </c>
      <c r="B330" t="s">
        <v>30</v>
      </c>
      <c r="C330">
        <v>1</v>
      </c>
      <c r="D330">
        <f>_xlfn.XLOOKUP(Order_Report[[#This Row],[SKU]],SKU_Master[SKU],SKU_Master[Weight (g)],"not found")</f>
        <v>240</v>
      </c>
      <c r="E330">
        <f>Order_Report[[#This Row],[order weight ]]*Order_Report[[#This Row],[Order Qty]]</f>
        <v>240</v>
      </c>
    </row>
    <row r="331" spans="1:5" x14ac:dyDescent="0.3">
      <c r="A331">
        <v>2001806733</v>
      </c>
      <c r="B331" t="s">
        <v>36</v>
      </c>
      <c r="C331">
        <v>1</v>
      </c>
      <c r="D331">
        <f>_xlfn.XLOOKUP(Order_Report[[#This Row],[SKU]],SKU_Master[SKU],SKU_Master[Weight (g)],"not found")</f>
        <v>112</v>
      </c>
      <c r="E331">
        <f>Order_Report[[#This Row],[order weight ]]*Order_Report[[#This Row],[Order Qty]]</f>
        <v>112</v>
      </c>
    </row>
    <row r="332" spans="1:5" x14ac:dyDescent="0.3">
      <c r="A332">
        <v>2001806733</v>
      </c>
      <c r="B332" t="s">
        <v>15</v>
      </c>
      <c r="C332">
        <v>1</v>
      </c>
      <c r="D332">
        <f>_xlfn.XLOOKUP(Order_Report[[#This Row],[SKU]],SKU_Master[SKU],SKU_Master[Weight (g)],"not found")</f>
        <v>165</v>
      </c>
      <c r="E332">
        <f>Order_Report[[#This Row],[order weight ]]*Order_Report[[#This Row],[Order Qty]]</f>
        <v>165</v>
      </c>
    </row>
    <row r="333" spans="1:5" x14ac:dyDescent="0.3">
      <c r="A333">
        <v>2001806733</v>
      </c>
      <c r="B333" t="s">
        <v>30</v>
      </c>
      <c r="C333">
        <v>1</v>
      </c>
      <c r="D333">
        <f>_xlfn.XLOOKUP(Order_Report[[#This Row],[SKU]],SKU_Master[SKU],SKU_Master[Weight (g)],"not found")</f>
        <v>240</v>
      </c>
      <c r="E333">
        <f>Order_Report[[#This Row],[order weight ]]*Order_Report[[#This Row],[Order Qty]]</f>
        <v>240</v>
      </c>
    </row>
    <row r="334" spans="1:5" x14ac:dyDescent="0.3">
      <c r="A334">
        <v>2001806733</v>
      </c>
      <c r="B334" t="s">
        <v>68</v>
      </c>
      <c r="C334">
        <v>1</v>
      </c>
      <c r="D334">
        <f>_xlfn.XLOOKUP(Order_Report[[#This Row],[SKU]],SKU_Master[SKU],SKU_Master[Weight (g)],"not found")</f>
        <v>210</v>
      </c>
      <c r="E334">
        <f>Order_Report[[#This Row],[order weight ]]*Order_Report[[#This Row],[Order Qty]]</f>
        <v>210</v>
      </c>
    </row>
    <row r="335" spans="1:5" x14ac:dyDescent="0.3">
      <c r="A335">
        <v>2001806733</v>
      </c>
      <c r="B335" t="s">
        <v>62</v>
      </c>
      <c r="C335">
        <v>1</v>
      </c>
      <c r="D335">
        <f>_xlfn.XLOOKUP(Order_Report[[#This Row],[SKU]],SKU_Master[SKU],SKU_Master[Weight (g)],"not found")</f>
        <v>240</v>
      </c>
      <c r="E335">
        <f>Order_Report[[#This Row],[order weight ]]*Order_Report[[#This Row],[Order Qty]]</f>
        <v>240</v>
      </c>
    </row>
    <row r="336" spans="1:5" x14ac:dyDescent="0.3">
      <c r="A336">
        <v>2001806726</v>
      </c>
      <c r="B336" t="s">
        <v>25</v>
      </c>
      <c r="C336">
        <v>1</v>
      </c>
      <c r="D336">
        <f>_xlfn.XLOOKUP(Order_Report[[#This Row],[SKU]],SKU_Master[SKU],SKU_Master[Weight (g)],"not found")</f>
        <v>127</v>
      </c>
      <c r="E336">
        <f>Order_Report[[#This Row],[order weight ]]*Order_Report[[#This Row],[Order Qty]]</f>
        <v>127</v>
      </c>
    </row>
    <row r="337" spans="1:5" x14ac:dyDescent="0.3">
      <c r="A337">
        <v>2001806726</v>
      </c>
      <c r="B337" t="s">
        <v>34</v>
      </c>
      <c r="C337">
        <v>1</v>
      </c>
      <c r="D337">
        <f>_xlfn.XLOOKUP(Order_Report[[#This Row],[SKU]],SKU_Master[SKU],SKU_Master[Weight (g)],"not found")</f>
        <v>133</v>
      </c>
      <c r="E337">
        <f>Order_Report[[#This Row],[order weight ]]*Order_Report[[#This Row],[Order Qty]]</f>
        <v>133</v>
      </c>
    </row>
    <row r="338" spans="1:5" x14ac:dyDescent="0.3">
      <c r="A338">
        <v>2001806726</v>
      </c>
      <c r="B338" t="s">
        <v>30</v>
      </c>
      <c r="C338">
        <v>1</v>
      </c>
      <c r="D338">
        <f>_xlfn.XLOOKUP(Order_Report[[#This Row],[SKU]],SKU_Master[SKU],SKU_Master[Weight (g)],"not found")</f>
        <v>240</v>
      </c>
      <c r="E338">
        <f>Order_Report[[#This Row],[order weight ]]*Order_Report[[#This Row],[Order Qty]]</f>
        <v>240</v>
      </c>
    </row>
    <row r="339" spans="1:5" x14ac:dyDescent="0.3">
      <c r="A339">
        <v>2001806686</v>
      </c>
      <c r="B339" t="s">
        <v>62</v>
      </c>
      <c r="C339">
        <v>1</v>
      </c>
      <c r="D339">
        <f>_xlfn.XLOOKUP(Order_Report[[#This Row],[SKU]],SKU_Master[SKU],SKU_Master[Weight (g)],"not found")</f>
        <v>240</v>
      </c>
      <c r="E339">
        <f>Order_Report[[#This Row],[order weight ]]*Order_Report[[#This Row],[Order Qty]]</f>
        <v>240</v>
      </c>
    </row>
    <row r="340" spans="1:5" x14ac:dyDescent="0.3">
      <c r="A340">
        <v>2001806652</v>
      </c>
      <c r="B340" t="s">
        <v>25</v>
      </c>
      <c r="C340">
        <v>1</v>
      </c>
      <c r="D340">
        <f>_xlfn.XLOOKUP(Order_Report[[#This Row],[SKU]],SKU_Master[SKU],SKU_Master[Weight (g)],"not found")</f>
        <v>127</v>
      </c>
      <c r="E340">
        <f>Order_Report[[#This Row],[order weight ]]*Order_Report[[#This Row],[Order Qty]]</f>
        <v>127</v>
      </c>
    </row>
    <row r="341" spans="1:5" x14ac:dyDescent="0.3">
      <c r="A341">
        <v>2001806652</v>
      </c>
      <c r="B341" t="s">
        <v>34</v>
      </c>
      <c r="C341">
        <v>1</v>
      </c>
      <c r="D341">
        <f>_xlfn.XLOOKUP(Order_Report[[#This Row],[SKU]],SKU_Master[SKU],SKU_Master[Weight (g)],"not found")</f>
        <v>133</v>
      </c>
      <c r="E341">
        <f>Order_Report[[#This Row],[order weight ]]*Order_Report[[#This Row],[Order Qty]]</f>
        <v>133</v>
      </c>
    </row>
    <row r="342" spans="1:5" x14ac:dyDescent="0.3">
      <c r="A342">
        <v>2001806652</v>
      </c>
      <c r="B342" t="s">
        <v>30</v>
      </c>
      <c r="C342">
        <v>1</v>
      </c>
      <c r="D342">
        <f>_xlfn.XLOOKUP(Order_Report[[#This Row],[SKU]],SKU_Master[SKU],SKU_Master[Weight (g)],"not found")</f>
        <v>240</v>
      </c>
      <c r="E342">
        <f>Order_Report[[#This Row],[order weight ]]*Order_Report[[#This Row],[Order Qty]]</f>
        <v>240</v>
      </c>
    </row>
    <row r="343" spans="1:5" x14ac:dyDescent="0.3">
      <c r="A343">
        <v>2001806616</v>
      </c>
      <c r="B343" t="s">
        <v>23</v>
      </c>
      <c r="C343">
        <v>1</v>
      </c>
      <c r="D343">
        <f>_xlfn.XLOOKUP(Order_Report[[#This Row],[SKU]],SKU_Master[SKU],SKU_Master[Weight (g)],"not found")</f>
        <v>240</v>
      </c>
      <c r="E343">
        <f>Order_Report[[#This Row],[order weight ]]*Order_Report[[#This Row],[Order Qty]]</f>
        <v>240</v>
      </c>
    </row>
    <row r="344" spans="1:5" x14ac:dyDescent="0.3">
      <c r="A344">
        <v>2001806616</v>
      </c>
      <c r="B344" t="s">
        <v>24</v>
      </c>
      <c r="C344">
        <v>1</v>
      </c>
      <c r="D344">
        <f>_xlfn.XLOOKUP(Order_Report[[#This Row],[SKU]],SKU_Master[SKU],SKU_Master[Weight (g)],"not found")</f>
        <v>121</v>
      </c>
      <c r="E344">
        <f>Order_Report[[#This Row],[order weight ]]*Order_Report[[#This Row],[Order Qty]]</f>
        <v>121</v>
      </c>
    </row>
    <row r="345" spans="1:5" x14ac:dyDescent="0.3">
      <c r="A345">
        <v>2001806616</v>
      </c>
      <c r="B345" t="s">
        <v>31</v>
      </c>
      <c r="C345">
        <v>1</v>
      </c>
      <c r="D345">
        <f>_xlfn.XLOOKUP(Order_Report[[#This Row],[SKU]],SKU_Master[SKU],SKU_Master[Weight (g)],"not found")</f>
        <v>120</v>
      </c>
      <c r="E345">
        <f>Order_Report[[#This Row],[order weight ]]*Order_Report[[#This Row],[Order Qty]]</f>
        <v>120</v>
      </c>
    </row>
    <row r="346" spans="1:5" x14ac:dyDescent="0.3">
      <c r="A346">
        <v>2001806616</v>
      </c>
      <c r="B346" t="s">
        <v>26</v>
      </c>
      <c r="C346">
        <v>1</v>
      </c>
      <c r="D346">
        <f>_xlfn.XLOOKUP(Order_Report[[#This Row],[SKU]],SKU_Master[SKU],SKU_Master[Weight (g)],"not found")</f>
        <v>120</v>
      </c>
      <c r="E346">
        <f>Order_Report[[#This Row],[order weight ]]*Order_Report[[#This Row],[Order Qty]]</f>
        <v>120</v>
      </c>
    </row>
    <row r="347" spans="1:5" x14ac:dyDescent="0.3">
      <c r="A347">
        <v>2001806616</v>
      </c>
      <c r="B347" t="s">
        <v>35</v>
      </c>
      <c r="C347">
        <v>1</v>
      </c>
      <c r="D347">
        <f>_xlfn.XLOOKUP(Order_Report[[#This Row],[SKU]],SKU_Master[SKU],SKU_Master[Weight (g)],"not found")</f>
        <v>112</v>
      </c>
      <c r="E347">
        <f>Order_Report[[#This Row],[order weight ]]*Order_Report[[#This Row],[Order Qty]]</f>
        <v>112</v>
      </c>
    </row>
    <row r="348" spans="1:5" x14ac:dyDescent="0.3">
      <c r="A348">
        <v>2001806616</v>
      </c>
      <c r="B348" t="s">
        <v>61</v>
      </c>
      <c r="C348">
        <v>1</v>
      </c>
      <c r="D348">
        <f>_xlfn.XLOOKUP(Order_Report[[#This Row],[SKU]],SKU_Master[SKU],SKU_Master[Weight (g)],"not found")</f>
        <v>250</v>
      </c>
      <c r="E348">
        <f>Order_Report[[#This Row],[order weight ]]*Order_Report[[#This Row],[Order Qty]]</f>
        <v>250</v>
      </c>
    </row>
    <row r="349" spans="1:5" x14ac:dyDescent="0.3">
      <c r="A349">
        <v>2001806575</v>
      </c>
      <c r="B349" t="s">
        <v>25</v>
      </c>
      <c r="C349">
        <v>1</v>
      </c>
      <c r="D349">
        <f>_xlfn.XLOOKUP(Order_Report[[#This Row],[SKU]],SKU_Master[SKU],SKU_Master[Weight (g)],"not found")</f>
        <v>127</v>
      </c>
      <c r="E349">
        <f>Order_Report[[#This Row],[order weight ]]*Order_Report[[#This Row],[Order Qty]]</f>
        <v>127</v>
      </c>
    </row>
    <row r="350" spans="1:5" x14ac:dyDescent="0.3">
      <c r="A350">
        <v>2001806575</v>
      </c>
      <c r="B350" t="s">
        <v>34</v>
      </c>
      <c r="C350">
        <v>1</v>
      </c>
      <c r="D350">
        <f>_xlfn.XLOOKUP(Order_Report[[#This Row],[SKU]],SKU_Master[SKU],SKU_Master[Weight (g)],"not found")</f>
        <v>133</v>
      </c>
      <c r="E350">
        <f>Order_Report[[#This Row],[order weight ]]*Order_Report[[#This Row],[Order Qty]]</f>
        <v>133</v>
      </c>
    </row>
    <row r="351" spans="1:5" x14ac:dyDescent="0.3">
      <c r="A351">
        <v>2001806575</v>
      </c>
      <c r="B351" t="s">
        <v>30</v>
      </c>
      <c r="C351">
        <v>1</v>
      </c>
      <c r="D351">
        <f>_xlfn.XLOOKUP(Order_Report[[#This Row],[SKU]],SKU_Master[SKU],SKU_Master[Weight (g)],"not found")</f>
        <v>240</v>
      </c>
      <c r="E351">
        <f>Order_Report[[#This Row],[order weight ]]*Order_Report[[#This Row],[Order Qty]]</f>
        <v>240</v>
      </c>
    </row>
    <row r="352" spans="1:5" x14ac:dyDescent="0.3">
      <c r="A352">
        <v>2001806567</v>
      </c>
      <c r="B352" t="s">
        <v>19</v>
      </c>
      <c r="C352">
        <v>1</v>
      </c>
      <c r="D352">
        <f>_xlfn.XLOOKUP(Order_Report[[#This Row],[SKU]],SKU_Master[SKU],SKU_Master[Weight (g)],"not found")</f>
        <v>120</v>
      </c>
      <c r="E352">
        <f>Order_Report[[#This Row],[order weight ]]*Order_Report[[#This Row],[Order Qty]]</f>
        <v>120</v>
      </c>
    </row>
    <row r="353" spans="1:5" x14ac:dyDescent="0.3">
      <c r="A353">
        <v>2001806567</v>
      </c>
      <c r="B353" t="s">
        <v>10</v>
      </c>
      <c r="C353">
        <v>1</v>
      </c>
      <c r="D353">
        <f>_xlfn.XLOOKUP(Order_Report[[#This Row],[SKU]],SKU_Master[SKU],SKU_Master[Weight (g)],"not found")</f>
        <v>120</v>
      </c>
      <c r="E353">
        <f>Order_Report[[#This Row],[order weight ]]*Order_Report[[#This Row],[Order Qty]]</f>
        <v>120</v>
      </c>
    </row>
    <row r="354" spans="1:5" x14ac:dyDescent="0.3">
      <c r="A354">
        <v>2001806567</v>
      </c>
      <c r="B354" t="s">
        <v>35</v>
      </c>
      <c r="C354">
        <v>1</v>
      </c>
      <c r="D354">
        <f>_xlfn.XLOOKUP(Order_Report[[#This Row],[SKU]],SKU_Master[SKU],SKU_Master[Weight (g)],"not found")</f>
        <v>112</v>
      </c>
      <c r="E354">
        <f>Order_Report[[#This Row],[order weight ]]*Order_Report[[#This Row],[Order Qty]]</f>
        <v>112</v>
      </c>
    </row>
    <row r="355" spans="1:5" x14ac:dyDescent="0.3">
      <c r="A355">
        <v>2001806567</v>
      </c>
      <c r="B355" t="s">
        <v>53</v>
      </c>
      <c r="C355">
        <v>1</v>
      </c>
      <c r="D355">
        <f>_xlfn.XLOOKUP(Order_Report[[#This Row],[SKU]],SKU_Master[SKU],SKU_Master[Weight (g)],"not found")</f>
        <v>290</v>
      </c>
      <c r="E355">
        <f>Order_Report[[#This Row],[order weight ]]*Order_Report[[#This Row],[Order Qty]]</f>
        <v>290</v>
      </c>
    </row>
    <row r="356" spans="1:5" x14ac:dyDescent="0.3">
      <c r="A356">
        <v>2001806567</v>
      </c>
      <c r="B356" t="s">
        <v>27</v>
      </c>
      <c r="C356">
        <v>1</v>
      </c>
      <c r="D356">
        <f>_xlfn.XLOOKUP(Order_Report[[#This Row],[SKU]],SKU_Master[SKU],SKU_Master[Weight (g)],"not found")</f>
        <v>160</v>
      </c>
      <c r="E356">
        <f>Order_Report[[#This Row],[order weight ]]*Order_Report[[#This Row],[Order Qty]]</f>
        <v>160</v>
      </c>
    </row>
    <row r="357" spans="1:5" x14ac:dyDescent="0.3">
      <c r="A357">
        <v>2001806567</v>
      </c>
      <c r="B357" t="s">
        <v>18</v>
      </c>
      <c r="C357">
        <v>1</v>
      </c>
      <c r="D357">
        <f>_xlfn.XLOOKUP(Order_Report[[#This Row],[SKU]],SKU_Master[SKU],SKU_Master[Weight (g)],"not found")</f>
        <v>150</v>
      </c>
      <c r="E357">
        <f>Order_Report[[#This Row],[order weight ]]*Order_Report[[#This Row],[Order Qty]]</f>
        <v>150</v>
      </c>
    </row>
    <row r="358" spans="1:5" x14ac:dyDescent="0.3">
      <c r="A358">
        <v>2001806547</v>
      </c>
      <c r="B358" t="s">
        <v>25</v>
      </c>
      <c r="C358">
        <v>1</v>
      </c>
      <c r="D358">
        <f>_xlfn.XLOOKUP(Order_Report[[#This Row],[SKU]],SKU_Master[SKU],SKU_Master[Weight (g)],"not found")</f>
        <v>127</v>
      </c>
      <c r="E358">
        <f>Order_Report[[#This Row],[order weight ]]*Order_Report[[#This Row],[Order Qty]]</f>
        <v>127</v>
      </c>
    </row>
    <row r="359" spans="1:5" x14ac:dyDescent="0.3">
      <c r="A359">
        <v>2001806533</v>
      </c>
      <c r="B359" t="s">
        <v>25</v>
      </c>
      <c r="C359">
        <v>1</v>
      </c>
      <c r="D359">
        <f>_xlfn.XLOOKUP(Order_Report[[#This Row],[SKU]],SKU_Master[SKU],SKU_Master[Weight (g)],"not found")</f>
        <v>127</v>
      </c>
      <c r="E359">
        <f>Order_Report[[#This Row],[order weight ]]*Order_Report[[#This Row],[Order Qty]]</f>
        <v>127</v>
      </c>
    </row>
    <row r="360" spans="1:5" x14ac:dyDescent="0.3">
      <c r="A360">
        <v>2001806533</v>
      </c>
      <c r="B360" t="s">
        <v>34</v>
      </c>
      <c r="C360">
        <v>1</v>
      </c>
      <c r="D360">
        <f>_xlfn.XLOOKUP(Order_Report[[#This Row],[SKU]],SKU_Master[SKU],SKU_Master[Weight (g)],"not found")</f>
        <v>133</v>
      </c>
      <c r="E360">
        <f>Order_Report[[#This Row],[order weight ]]*Order_Report[[#This Row],[Order Qty]]</f>
        <v>133</v>
      </c>
    </row>
    <row r="361" spans="1:5" x14ac:dyDescent="0.3">
      <c r="A361">
        <v>2001806533</v>
      </c>
      <c r="B361" t="s">
        <v>30</v>
      </c>
      <c r="C361">
        <v>1</v>
      </c>
      <c r="D361">
        <f>_xlfn.XLOOKUP(Order_Report[[#This Row],[SKU]],SKU_Master[SKU],SKU_Master[Weight (g)],"not found")</f>
        <v>240</v>
      </c>
      <c r="E361">
        <f>Order_Report[[#This Row],[order weight ]]*Order_Report[[#This Row],[Order Qty]]</f>
        <v>240</v>
      </c>
    </row>
    <row r="362" spans="1:5" x14ac:dyDescent="0.3">
      <c r="A362">
        <v>2001806471</v>
      </c>
      <c r="B362" t="s">
        <v>25</v>
      </c>
      <c r="C362">
        <v>2</v>
      </c>
      <c r="D362">
        <f>_xlfn.XLOOKUP(Order_Report[[#This Row],[SKU]],SKU_Master[SKU],SKU_Master[Weight (g)],"not found")</f>
        <v>127</v>
      </c>
      <c r="E362">
        <f>Order_Report[[#This Row],[order weight ]]*Order_Report[[#This Row],[Order Qty]]</f>
        <v>254</v>
      </c>
    </row>
    <row r="363" spans="1:5" x14ac:dyDescent="0.3">
      <c r="A363">
        <v>2001806471</v>
      </c>
      <c r="B363" t="s">
        <v>34</v>
      </c>
      <c r="C363">
        <v>2</v>
      </c>
      <c r="D363">
        <f>_xlfn.XLOOKUP(Order_Report[[#This Row],[SKU]],SKU_Master[SKU],SKU_Master[Weight (g)],"not found")</f>
        <v>133</v>
      </c>
      <c r="E363">
        <f>Order_Report[[#This Row],[order weight ]]*Order_Report[[#This Row],[Order Qty]]</f>
        <v>266</v>
      </c>
    </row>
    <row r="364" spans="1:5" x14ac:dyDescent="0.3">
      <c r="A364">
        <v>2001806471</v>
      </c>
      <c r="B364" t="s">
        <v>30</v>
      </c>
      <c r="C364">
        <v>2</v>
      </c>
      <c r="D364">
        <f>_xlfn.XLOOKUP(Order_Report[[#This Row],[SKU]],SKU_Master[SKU],SKU_Master[Weight (g)],"not found")</f>
        <v>240</v>
      </c>
      <c r="E364">
        <f>Order_Report[[#This Row],[order weight ]]*Order_Report[[#This Row],[Order Qty]]</f>
        <v>480</v>
      </c>
    </row>
    <row r="365" spans="1:5" x14ac:dyDescent="0.3">
      <c r="A365">
        <v>2001806471</v>
      </c>
      <c r="B365" t="s">
        <v>25</v>
      </c>
      <c r="C365">
        <v>1</v>
      </c>
      <c r="D365">
        <f>_xlfn.XLOOKUP(Order_Report[[#This Row],[SKU]],SKU_Master[SKU],SKU_Master[Weight (g)],"not found")</f>
        <v>127</v>
      </c>
      <c r="E365">
        <f>Order_Report[[#This Row],[order weight ]]*Order_Report[[#This Row],[Order Qty]]</f>
        <v>127</v>
      </c>
    </row>
    <row r="366" spans="1:5" x14ac:dyDescent="0.3">
      <c r="A366">
        <v>2001806471</v>
      </c>
      <c r="B366" t="s">
        <v>34</v>
      </c>
      <c r="C366">
        <v>1</v>
      </c>
      <c r="D366">
        <f>_xlfn.XLOOKUP(Order_Report[[#This Row],[SKU]],SKU_Master[SKU],SKU_Master[Weight (g)],"not found")</f>
        <v>133</v>
      </c>
      <c r="E366">
        <f>Order_Report[[#This Row],[order weight ]]*Order_Report[[#This Row],[Order Qty]]</f>
        <v>133</v>
      </c>
    </row>
    <row r="367" spans="1:5" x14ac:dyDescent="0.3">
      <c r="A367">
        <v>2001806471</v>
      </c>
      <c r="B367" t="s">
        <v>30</v>
      </c>
      <c r="C367">
        <v>1</v>
      </c>
      <c r="D367">
        <f>_xlfn.XLOOKUP(Order_Report[[#This Row],[SKU]],SKU_Master[SKU],SKU_Master[Weight (g)],"not found")</f>
        <v>240</v>
      </c>
      <c r="E367">
        <f>Order_Report[[#This Row],[order weight ]]*Order_Report[[#This Row],[Order Qty]]</f>
        <v>240</v>
      </c>
    </row>
    <row r="368" spans="1:5" x14ac:dyDescent="0.3">
      <c r="A368">
        <v>2001806471</v>
      </c>
      <c r="B368" t="s">
        <v>24</v>
      </c>
      <c r="C368">
        <v>1</v>
      </c>
      <c r="D368">
        <f>_xlfn.XLOOKUP(Order_Report[[#This Row],[SKU]],SKU_Master[SKU],SKU_Master[Weight (g)],"not found")</f>
        <v>121</v>
      </c>
      <c r="E368">
        <f>Order_Report[[#This Row],[order weight ]]*Order_Report[[#This Row],[Order Qty]]</f>
        <v>121</v>
      </c>
    </row>
    <row r="369" spans="1:5" x14ac:dyDescent="0.3">
      <c r="A369">
        <v>2001806458</v>
      </c>
      <c r="B369" t="s">
        <v>48</v>
      </c>
      <c r="C369">
        <v>1</v>
      </c>
      <c r="D369">
        <f>_xlfn.XLOOKUP(Order_Report[[#This Row],[SKU]],SKU_Master[SKU],SKU_Master[Weight (g)],"not found")</f>
        <v>350</v>
      </c>
      <c r="E369">
        <f>Order_Report[[#This Row],[order weight ]]*Order_Report[[#This Row],[Order Qty]]</f>
        <v>350</v>
      </c>
    </row>
    <row r="370" spans="1:5" x14ac:dyDescent="0.3">
      <c r="A370">
        <v>2001806458</v>
      </c>
      <c r="B370" t="s">
        <v>16</v>
      </c>
      <c r="C370">
        <v>1</v>
      </c>
      <c r="D370">
        <f>_xlfn.XLOOKUP(Order_Report[[#This Row],[SKU]],SKU_Master[SKU],SKU_Master[Weight (g)],"not found")</f>
        <v>350</v>
      </c>
      <c r="E370">
        <f>Order_Report[[#This Row],[order weight ]]*Order_Report[[#This Row],[Order Qty]]</f>
        <v>350</v>
      </c>
    </row>
    <row r="371" spans="1:5" x14ac:dyDescent="0.3">
      <c r="A371">
        <v>2001806446</v>
      </c>
      <c r="B371" t="s">
        <v>25</v>
      </c>
      <c r="C371">
        <v>1</v>
      </c>
      <c r="D371">
        <f>_xlfn.XLOOKUP(Order_Report[[#This Row],[SKU]],SKU_Master[SKU],SKU_Master[Weight (g)],"not found")</f>
        <v>127</v>
      </c>
      <c r="E371">
        <f>Order_Report[[#This Row],[order weight ]]*Order_Report[[#This Row],[Order Qty]]</f>
        <v>127</v>
      </c>
    </row>
    <row r="372" spans="1:5" x14ac:dyDescent="0.3">
      <c r="A372">
        <v>2001806446</v>
      </c>
      <c r="B372" t="s">
        <v>34</v>
      </c>
      <c r="C372">
        <v>1</v>
      </c>
      <c r="D372">
        <f>_xlfn.XLOOKUP(Order_Report[[#This Row],[SKU]],SKU_Master[SKU],SKU_Master[Weight (g)],"not found")</f>
        <v>133</v>
      </c>
      <c r="E372">
        <f>Order_Report[[#This Row],[order weight ]]*Order_Report[[#This Row],[Order Qty]]</f>
        <v>133</v>
      </c>
    </row>
    <row r="373" spans="1:5" x14ac:dyDescent="0.3">
      <c r="A373">
        <v>2001806446</v>
      </c>
      <c r="B373" t="s">
        <v>30</v>
      </c>
      <c r="C373">
        <v>1</v>
      </c>
      <c r="D373">
        <f>_xlfn.XLOOKUP(Order_Report[[#This Row],[SKU]],SKU_Master[SKU],SKU_Master[Weight (g)],"not found")</f>
        <v>240</v>
      </c>
      <c r="E373">
        <f>Order_Report[[#This Row],[order weight ]]*Order_Report[[#This Row],[Order Qty]]</f>
        <v>240</v>
      </c>
    </row>
    <row r="374" spans="1:5" x14ac:dyDescent="0.3">
      <c r="A374">
        <v>2001806408</v>
      </c>
      <c r="B374" t="s">
        <v>55</v>
      </c>
      <c r="C374">
        <v>2</v>
      </c>
      <c r="D374">
        <f>_xlfn.XLOOKUP(Order_Report[[#This Row],[SKU]],SKU_Master[SKU],SKU_Master[Weight (g)],"not found")</f>
        <v>552</v>
      </c>
      <c r="E374">
        <f>Order_Report[[#This Row],[order weight ]]*Order_Report[[#This Row],[Order Qty]]</f>
        <v>1104</v>
      </c>
    </row>
    <row r="375" spans="1:5" x14ac:dyDescent="0.3">
      <c r="A375">
        <v>2001806408</v>
      </c>
      <c r="B375" t="s">
        <v>50</v>
      </c>
      <c r="C375">
        <v>1</v>
      </c>
      <c r="D375">
        <f>_xlfn.XLOOKUP(Order_Report[[#This Row],[SKU]],SKU_Master[SKU],SKU_Master[Weight (g)],"not found")</f>
        <v>165</v>
      </c>
      <c r="E375">
        <f>Order_Report[[#This Row],[order weight ]]*Order_Report[[#This Row],[Order Qty]]</f>
        <v>165</v>
      </c>
    </row>
    <row r="376" spans="1:5" x14ac:dyDescent="0.3">
      <c r="A376">
        <v>2001806408</v>
      </c>
      <c r="B376" t="s">
        <v>35</v>
      </c>
      <c r="C376">
        <v>8</v>
      </c>
      <c r="D376">
        <f>_xlfn.XLOOKUP(Order_Report[[#This Row],[SKU]],SKU_Master[SKU],SKU_Master[Weight (g)],"not found")</f>
        <v>112</v>
      </c>
      <c r="E376">
        <f>Order_Report[[#This Row],[order weight ]]*Order_Report[[#This Row],[Order Qty]]</f>
        <v>896</v>
      </c>
    </row>
    <row r="377" spans="1:5" x14ac:dyDescent="0.3">
      <c r="A377">
        <v>2001806408</v>
      </c>
      <c r="B377" t="s">
        <v>32</v>
      </c>
      <c r="C377">
        <v>1</v>
      </c>
      <c r="D377">
        <f>_xlfn.XLOOKUP(Order_Report[[#This Row],[SKU]],SKU_Master[SKU],SKU_Master[Weight (g)],"not found")</f>
        <v>100</v>
      </c>
      <c r="E377">
        <f>Order_Report[[#This Row],[order weight ]]*Order_Report[[#This Row],[Order Qty]]</f>
        <v>100</v>
      </c>
    </row>
    <row r="378" spans="1:5" x14ac:dyDescent="0.3">
      <c r="A378">
        <v>2001806338</v>
      </c>
      <c r="B378" t="s">
        <v>25</v>
      </c>
      <c r="C378">
        <v>1</v>
      </c>
      <c r="D378">
        <f>_xlfn.XLOOKUP(Order_Report[[#This Row],[SKU]],SKU_Master[SKU],SKU_Master[Weight (g)],"not found")</f>
        <v>127</v>
      </c>
      <c r="E378">
        <f>Order_Report[[#This Row],[order weight ]]*Order_Report[[#This Row],[Order Qty]]</f>
        <v>127</v>
      </c>
    </row>
    <row r="379" spans="1:5" x14ac:dyDescent="0.3">
      <c r="A379">
        <v>2001806338</v>
      </c>
      <c r="B379" t="s">
        <v>34</v>
      </c>
      <c r="C379">
        <v>1</v>
      </c>
      <c r="D379">
        <f>_xlfn.XLOOKUP(Order_Report[[#This Row],[SKU]],SKU_Master[SKU],SKU_Master[Weight (g)],"not found")</f>
        <v>133</v>
      </c>
      <c r="E379">
        <f>Order_Report[[#This Row],[order weight ]]*Order_Report[[#This Row],[Order Qty]]</f>
        <v>133</v>
      </c>
    </row>
    <row r="380" spans="1:5" x14ac:dyDescent="0.3">
      <c r="A380">
        <v>2001806338</v>
      </c>
      <c r="B380" t="s">
        <v>30</v>
      </c>
      <c r="C380">
        <v>1</v>
      </c>
      <c r="D380">
        <f>_xlfn.XLOOKUP(Order_Report[[#This Row],[SKU]],SKU_Master[SKU],SKU_Master[Weight (g)],"not found")</f>
        <v>240</v>
      </c>
      <c r="E380">
        <f>Order_Report[[#This Row],[order weight ]]*Order_Report[[#This Row],[Order Qty]]</f>
        <v>240</v>
      </c>
    </row>
    <row r="381" spans="1:5" x14ac:dyDescent="0.3">
      <c r="A381">
        <v>2001806304</v>
      </c>
      <c r="B381" t="s">
        <v>25</v>
      </c>
      <c r="C381">
        <v>1</v>
      </c>
      <c r="D381">
        <f>_xlfn.XLOOKUP(Order_Report[[#This Row],[SKU]],SKU_Master[SKU],SKU_Master[Weight (g)],"not found")</f>
        <v>127</v>
      </c>
      <c r="E381">
        <f>Order_Report[[#This Row],[order weight ]]*Order_Report[[#This Row],[Order Qty]]</f>
        <v>127</v>
      </c>
    </row>
    <row r="382" spans="1:5" x14ac:dyDescent="0.3">
      <c r="A382">
        <v>2001806304</v>
      </c>
      <c r="B382" t="s">
        <v>34</v>
      </c>
      <c r="C382">
        <v>1</v>
      </c>
      <c r="D382">
        <f>_xlfn.XLOOKUP(Order_Report[[#This Row],[SKU]],SKU_Master[SKU],SKU_Master[Weight (g)],"not found")</f>
        <v>133</v>
      </c>
      <c r="E382">
        <f>Order_Report[[#This Row],[order weight ]]*Order_Report[[#This Row],[Order Qty]]</f>
        <v>133</v>
      </c>
    </row>
    <row r="383" spans="1:5" x14ac:dyDescent="0.3">
      <c r="A383">
        <v>2001806304</v>
      </c>
      <c r="B383" t="s">
        <v>30</v>
      </c>
      <c r="C383">
        <v>1</v>
      </c>
      <c r="D383">
        <f>_xlfn.XLOOKUP(Order_Report[[#This Row],[SKU]],SKU_Master[SKU],SKU_Master[Weight (g)],"not found")</f>
        <v>240</v>
      </c>
      <c r="E383">
        <f>Order_Report[[#This Row],[order weight ]]*Order_Report[[#This Row],[Order Qty]]</f>
        <v>240</v>
      </c>
    </row>
    <row r="384" spans="1:5" x14ac:dyDescent="0.3">
      <c r="A384">
        <v>2001806273</v>
      </c>
      <c r="B384" t="s">
        <v>38</v>
      </c>
      <c r="C384">
        <v>1</v>
      </c>
      <c r="D384">
        <f>_xlfn.XLOOKUP(Order_Report[[#This Row],[SKU]],SKU_Master[SKU],SKU_Master[Weight (g)],"not found")</f>
        <v>115</v>
      </c>
      <c r="E384">
        <f>Order_Report[[#This Row],[order weight ]]*Order_Report[[#This Row],[Order Qty]]</f>
        <v>115</v>
      </c>
    </row>
    <row r="385" spans="1:5" x14ac:dyDescent="0.3">
      <c r="A385">
        <v>2001806273</v>
      </c>
      <c r="B385" t="s">
        <v>25</v>
      </c>
      <c r="C385">
        <v>1</v>
      </c>
      <c r="D385">
        <f>_xlfn.XLOOKUP(Order_Report[[#This Row],[SKU]],SKU_Master[SKU],SKU_Master[Weight (g)],"not found")</f>
        <v>127</v>
      </c>
      <c r="E385">
        <f>Order_Report[[#This Row],[order weight ]]*Order_Report[[#This Row],[Order Qty]]</f>
        <v>127</v>
      </c>
    </row>
    <row r="386" spans="1:5" x14ac:dyDescent="0.3">
      <c r="A386">
        <v>2001806273</v>
      </c>
      <c r="B386" t="s">
        <v>34</v>
      </c>
      <c r="C386">
        <v>1</v>
      </c>
      <c r="D386">
        <f>_xlfn.XLOOKUP(Order_Report[[#This Row],[SKU]],SKU_Master[SKU],SKU_Master[Weight (g)],"not found")</f>
        <v>133</v>
      </c>
      <c r="E386">
        <f>Order_Report[[#This Row],[order weight ]]*Order_Report[[#This Row],[Order Qty]]</f>
        <v>133</v>
      </c>
    </row>
    <row r="387" spans="1:5" x14ac:dyDescent="0.3">
      <c r="A387">
        <v>2001806273</v>
      </c>
      <c r="B387" t="s">
        <v>30</v>
      </c>
      <c r="C387">
        <v>1</v>
      </c>
      <c r="D387">
        <f>_xlfn.XLOOKUP(Order_Report[[#This Row],[SKU]],SKU_Master[SKU],SKU_Master[Weight (g)],"not found")</f>
        <v>240</v>
      </c>
      <c r="E387">
        <f>Order_Report[[#This Row],[order weight ]]*Order_Report[[#This Row],[Order Qty]]</f>
        <v>240</v>
      </c>
    </row>
    <row r="388" spans="1:5" x14ac:dyDescent="0.3">
      <c r="A388">
        <v>2001806251</v>
      </c>
      <c r="B388" t="s">
        <v>42</v>
      </c>
      <c r="C388">
        <v>1</v>
      </c>
      <c r="D388">
        <f>_xlfn.XLOOKUP(Order_Report[[#This Row],[SKU]],SKU_Master[SKU],SKU_Master[Weight (g)],"not found")</f>
        <v>115</v>
      </c>
      <c r="E388">
        <f>Order_Report[[#This Row],[order weight ]]*Order_Report[[#This Row],[Order Qty]]</f>
        <v>115</v>
      </c>
    </row>
    <row r="389" spans="1:5" x14ac:dyDescent="0.3">
      <c r="A389">
        <v>2001806251</v>
      </c>
      <c r="B389" t="s">
        <v>63</v>
      </c>
      <c r="C389">
        <v>1</v>
      </c>
      <c r="D389">
        <f>_xlfn.XLOOKUP(Order_Report[[#This Row],[SKU]],SKU_Master[SKU],SKU_Master[Weight (g)],"not found")</f>
        <v>130</v>
      </c>
      <c r="E389">
        <f>Order_Report[[#This Row],[order weight ]]*Order_Report[[#This Row],[Order Qty]]</f>
        <v>130</v>
      </c>
    </row>
    <row r="390" spans="1:5" x14ac:dyDescent="0.3">
      <c r="A390">
        <v>2001806233</v>
      </c>
      <c r="B390" t="s">
        <v>42</v>
      </c>
      <c r="C390">
        <v>1</v>
      </c>
      <c r="D390">
        <f>_xlfn.XLOOKUP(Order_Report[[#This Row],[SKU]],SKU_Master[SKU],SKU_Master[Weight (g)],"not found")</f>
        <v>115</v>
      </c>
      <c r="E390">
        <f>Order_Report[[#This Row],[order weight ]]*Order_Report[[#This Row],[Order Qty]]</f>
        <v>115</v>
      </c>
    </row>
    <row r="391" spans="1:5" x14ac:dyDescent="0.3">
      <c r="A391">
        <v>2001806233</v>
      </c>
      <c r="B391" t="s">
        <v>63</v>
      </c>
      <c r="C391">
        <v>1</v>
      </c>
      <c r="D391">
        <f>_xlfn.XLOOKUP(Order_Report[[#This Row],[SKU]],SKU_Master[SKU],SKU_Master[Weight (g)],"not found")</f>
        <v>130</v>
      </c>
      <c r="E391">
        <f>Order_Report[[#This Row],[order weight ]]*Order_Report[[#This Row],[Order Qty]]</f>
        <v>130</v>
      </c>
    </row>
    <row r="392" spans="1:5" x14ac:dyDescent="0.3">
      <c r="A392">
        <v>2001806232</v>
      </c>
      <c r="B392" t="s">
        <v>22</v>
      </c>
      <c r="C392">
        <v>6</v>
      </c>
      <c r="D392">
        <f>_xlfn.XLOOKUP(Order_Report[[#This Row],[SKU]],SKU_Master[SKU],SKU_Master[Weight (g)],"not found")</f>
        <v>137</v>
      </c>
      <c r="E392">
        <f>Order_Report[[#This Row],[order weight ]]*Order_Report[[#This Row],[Order Qty]]</f>
        <v>822</v>
      </c>
    </row>
    <row r="393" spans="1:5" x14ac:dyDescent="0.3">
      <c r="A393">
        <v>2001806232</v>
      </c>
      <c r="B393" t="s">
        <v>43</v>
      </c>
      <c r="C393">
        <v>2</v>
      </c>
      <c r="D393">
        <f>_xlfn.XLOOKUP(Order_Report[[#This Row],[SKU]],SKU_Master[SKU],SKU_Master[Weight (g)],"not found")</f>
        <v>240</v>
      </c>
      <c r="E393">
        <f>Order_Report[[#This Row],[order weight ]]*Order_Report[[#This Row],[Order Qty]]</f>
        <v>480</v>
      </c>
    </row>
    <row r="394" spans="1:5" x14ac:dyDescent="0.3">
      <c r="A394">
        <v>2001806229</v>
      </c>
      <c r="B394" t="s">
        <v>25</v>
      </c>
      <c r="C394">
        <v>1</v>
      </c>
      <c r="D394">
        <f>_xlfn.XLOOKUP(Order_Report[[#This Row],[SKU]],SKU_Master[SKU],SKU_Master[Weight (g)],"not found")</f>
        <v>127</v>
      </c>
      <c r="E394">
        <f>Order_Report[[#This Row],[order weight ]]*Order_Report[[#This Row],[Order Qty]]</f>
        <v>127</v>
      </c>
    </row>
    <row r="395" spans="1:5" x14ac:dyDescent="0.3">
      <c r="A395">
        <v>2001806229</v>
      </c>
      <c r="B395" t="s">
        <v>34</v>
      </c>
      <c r="C395">
        <v>1</v>
      </c>
      <c r="D395">
        <f>_xlfn.XLOOKUP(Order_Report[[#This Row],[SKU]],SKU_Master[SKU],SKU_Master[Weight (g)],"not found")</f>
        <v>133</v>
      </c>
      <c r="E395">
        <f>Order_Report[[#This Row],[order weight ]]*Order_Report[[#This Row],[Order Qty]]</f>
        <v>133</v>
      </c>
    </row>
    <row r="396" spans="1:5" x14ac:dyDescent="0.3">
      <c r="A396">
        <v>2001806229</v>
      </c>
      <c r="B396" t="s">
        <v>30</v>
      </c>
      <c r="C396">
        <v>1</v>
      </c>
      <c r="D396">
        <f>_xlfn.XLOOKUP(Order_Report[[#This Row],[SKU]],SKU_Master[SKU],SKU_Master[Weight (g)],"not found")</f>
        <v>240</v>
      </c>
      <c r="E396">
        <f>Order_Report[[#This Row],[order weight ]]*Order_Report[[#This Row],[Order Qty]]</f>
        <v>240</v>
      </c>
    </row>
    <row r="397" spans="1:5" x14ac:dyDescent="0.3">
      <c r="A397">
        <v>2001806226</v>
      </c>
      <c r="B397" t="s">
        <v>30</v>
      </c>
      <c r="C397">
        <v>2</v>
      </c>
      <c r="D397">
        <f>_xlfn.XLOOKUP(Order_Report[[#This Row],[SKU]],SKU_Master[SKU],SKU_Master[Weight (g)],"not found")</f>
        <v>240</v>
      </c>
      <c r="E397">
        <f>Order_Report[[#This Row],[order weight ]]*Order_Report[[#This Row],[Order Qty]]</f>
        <v>480</v>
      </c>
    </row>
    <row r="398" spans="1:5" x14ac:dyDescent="0.3">
      <c r="A398">
        <v>2001806210</v>
      </c>
      <c r="B398" t="s">
        <v>10</v>
      </c>
      <c r="C398">
        <v>1</v>
      </c>
      <c r="D398">
        <f>_xlfn.XLOOKUP(Order_Report[[#This Row],[SKU]],SKU_Master[SKU],SKU_Master[Weight (g)],"not found")</f>
        <v>120</v>
      </c>
      <c r="E398">
        <f>Order_Report[[#This Row],[order weight ]]*Order_Report[[#This Row],[Order Qty]]</f>
        <v>120</v>
      </c>
    </row>
    <row r="399" spans="1:5" x14ac:dyDescent="0.3">
      <c r="A399">
        <v>2001806210</v>
      </c>
      <c r="B399" t="s">
        <v>32</v>
      </c>
      <c r="C399">
        <v>1</v>
      </c>
      <c r="D399">
        <f>_xlfn.XLOOKUP(Order_Report[[#This Row],[SKU]],SKU_Master[SKU],SKU_Master[Weight (g)],"not found")</f>
        <v>100</v>
      </c>
      <c r="E399">
        <f>Order_Report[[#This Row],[order weight ]]*Order_Report[[#This Row],[Order Qty]]</f>
        <v>100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BFA0E-78C7-4972-9D53-B50F653739D6}">
  <sheetPr codeName="Sheet6"/>
  <dimension ref="A1:H125"/>
  <sheetViews>
    <sheetView topLeftCell="A100" workbookViewId="0">
      <selection activeCell="H1" sqref="H1"/>
    </sheetView>
  </sheetViews>
  <sheetFormatPr defaultRowHeight="14.4" x14ac:dyDescent="0.3"/>
  <cols>
    <col min="1" max="1" width="33.77734375" customWidth="1"/>
    <col min="2" max="2" width="11" bestFit="1" customWidth="1"/>
    <col min="3" max="3" width="16.77734375" bestFit="1" customWidth="1"/>
    <col min="4" max="4" width="20.21875" bestFit="1" customWidth="1"/>
    <col min="5" max="5" width="18.6640625" bestFit="1" customWidth="1"/>
    <col min="6" max="6" width="7.44140625" bestFit="1" customWidth="1"/>
    <col min="7" max="7" width="22.109375" bestFit="1" customWidth="1"/>
    <col min="8" max="8" width="20" bestFit="1" customWidth="1"/>
  </cols>
  <sheetData>
    <row r="1" spans="1:8" x14ac:dyDescent="0.3">
      <c r="A1" t="s">
        <v>79</v>
      </c>
      <c r="B1" t="s">
        <v>80</v>
      </c>
      <c r="C1" t="s">
        <v>81</v>
      </c>
      <c r="D1" t="s">
        <v>71</v>
      </c>
      <c r="E1" t="s">
        <v>72</v>
      </c>
      <c r="F1" t="s">
        <v>73</v>
      </c>
      <c r="G1" t="s">
        <v>82</v>
      </c>
      <c r="H1" t="s">
        <v>83</v>
      </c>
    </row>
    <row r="2" spans="1:8" x14ac:dyDescent="0.3">
      <c r="A2">
        <v>1091117222124</v>
      </c>
      <c r="B2">
        <v>2001806232</v>
      </c>
      <c r="C2">
        <v>1.3</v>
      </c>
      <c r="D2">
        <v>121003</v>
      </c>
      <c r="E2">
        <v>507101</v>
      </c>
      <c r="F2" t="s">
        <v>74</v>
      </c>
      <c r="G2" t="s">
        <v>84</v>
      </c>
      <c r="H2">
        <v>135</v>
      </c>
    </row>
    <row r="3" spans="1:8" x14ac:dyDescent="0.3">
      <c r="A3">
        <v>1091117222194</v>
      </c>
      <c r="B3">
        <v>2001806273</v>
      </c>
      <c r="C3">
        <v>1</v>
      </c>
      <c r="D3">
        <v>121003</v>
      </c>
      <c r="E3">
        <v>486886</v>
      </c>
      <c r="F3" t="s">
        <v>74</v>
      </c>
      <c r="G3" t="s">
        <v>84</v>
      </c>
      <c r="H3">
        <v>90.2</v>
      </c>
    </row>
    <row r="4" spans="1:8" x14ac:dyDescent="0.3">
      <c r="A4">
        <v>1091117222931</v>
      </c>
      <c r="B4">
        <v>2001806408</v>
      </c>
      <c r="C4">
        <v>2.5</v>
      </c>
      <c r="D4">
        <v>121003</v>
      </c>
      <c r="E4">
        <v>532484</v>
      </c>
      <c r="F4" t="s">
        <v>74</v>
      </c>
      <c r="G4" t="s">
        <v>84</v>
      </c>
      <c r="H4">
        <v>224.6</v>
      </c>
    </row>
    <row r="5" spans="1:8" x14ac:dyDescent="0.3">
      <c r="A5">
        <v>1091117223244</v>
      </c>
      <c r="B5">
        <v>2001806458</v>
      </c>
      <c r="C5">
        <v>1</v>
      </c>
      <c r="D5">
        <v>121003</v>
      </c>
      <c r="E5">
        <v>143001</v>
      </c>
      <c r="F5" t="s">
        <v>75</v>
      </c>
      <c r="G5" t="s">
        <v>84</v>
      </c>
      <c r="H5">
        <v>61.3</v>
      </c>
    </row>
    <row r="6" spans="1:8" x14ac:dyDescent="0.3">
      <c r="A6">
        <v>1091117229345</v>
      </c>
      <c r="B6">
        <v>2001807012</v>
      </c>
      <c r="C6">
        <v>0.15</v>
      </c>
      <c r="D6">
        <v>121003</v>
      </c>
      <c r="E6">
        <v>515591</v>
      </c>
      <c r="F6" t="s">
        <v>74</v>
      </c>
      <c r="G6" t="s">
        <v>84</v>
      </c>
      <c r="H6">
        <v>45.4</v>
      </c>
    </row>
    <row r="7" spans="1:8" x14ac:dyDescent="0.3">
      <c r="A7">
        <v>1091117229555</v>
      </c>
      <c r="B7">
        <v>2001806686</v>
      </c>
      <c r="C7">
        <v>0.15</v>
      </c>
      <c r="D7">
        <v>121003</v>
      </c>
      <c r="E7">
        <v>326502</v>
      </c>
      <c r="F7" t="s">
        <v>74</v>
      </c>
      <c r="G7" t="s">
        <v>84</v>
      </c>
      <c r="H7">
        <v>45.4</v>
      </c>
    </row>
    <row r="8" spans="1:8" x14ac:dyDescent="0.3">
      <c r="A8">
        <v>1091117229776</v>
      </c>
      <c r="B8">
        <v>2001806885</v>
      </c>
      <c r="C8">
        <v>1</v>
      </c>
      <c r="D8">
        <v>121003</v>
      </c>
      <c r="E8">
        <v>208019</v>
      </c>
      <c r="F8" t="s">
        <v>75</v>
      </c>
      <c r="G8" t="s">
        <v>84</v>
      </c>
      <c r="H8">
        <v>61.3</v>
      </c>
    </row>
    <row r="9" spans="1:8" x14ac:dyDescent="0.3">
      <c r="A9">
        <v>1091117323112</v>
      </c>
      <c r="B9">
        <v>2001807058</v>
      </c>
      <c r="C9">
        <v>1.1499999999999999</v>
      </c>
      <c r="D9">
        <v>121003</v>
      </c>
      <c r="E9">
        <v>140301</v>
      </c>
      <c r="F9" t="s">
        <v>75</v>
      </c>
      <c r="G9" t="s">
        <v>84</v>
      </c>
      <c r="H9">
        <v>89.6</v>
      </c>
    </row>
    <row r="10" spans="1:8" x14ac:dyDescent="0.3">
      <c r="A10">
        <v>1091117323812</v>
      </c>
      <c r="B10">
        <v>2001807186</v>
      </c>
      <c r="C10">
        <v>0.5</v>
      </c>
      <c r="D10">
        <v>121003</v>
      </c>
      <c r="E10">
        <v>396001</v>
      </c>
      <c r="F10" t="s">
        <v>74</v>
      </c>
      <c r="G10" t="s">
        <v>84</v>
      </c>
      <c r="H10">
        <v>45.4</v>
      </c>
    </row>
    <row r="11" spans="1:8" x14ac:dyDescent="0.3">
      <c r="A11">
        <v>1091117324206</v>
      </c>
      <c r="B11">
        <v>2001807290</v>
      </c>
      <c r="C11">
        <v>0.5</v>
      </c>
      <c r="D11">
        <v>121003</v>
      </c>
      <c r="E11">
        <v>711106</v>
      </c>
      <c r="F11" t="s">
        <v>74</v>
      </c>
      <c r="G11" t="s">
        <v>84</v>
      </c>
      <c r="H11">
        <v>45.4</v>
      </c>
    </row>
    <row r="12" spans="1:8" x14ac:dyDescent="0.3">
      <c r="A12">
        <v>1091117326612</v>
      </c>
      <c r="B12">
        <v>2001807814</v>
      </c>
      <c r="C12">
        <v>0.79</v>
      </c>
      <c r="D12">
        <v>121003</v>
      </c>
      <c r="E12">
        <v>284001</v>
      </c>
      <c r="F12" t="s">
        <v>75</v>
      </c>
      <c r="G12" t="s">
        <v>84</v>
      </c>
      <c r="H12">
        <v>61.3</v>
      </c>
    </row>
    <row r="13" spans="1:8" x14ac:dyDescent="0.3">
      <c r="A13">
        <v>1091117327172</v>
      </c>
      <c r="B13">
        <v>2001807931</v>
      </c>
      <c r="C13">
        <v>0.72</v>
      </c>
      <c r="D13">
        <v>121003</v>
      </c>
      <c r="E13">
        <v>441601</v>
      </c>
      <c r="F13" t="s">
        <v>74</v>
      </c>
      <c r="G13" t="s">
        <v>84</v>
      </c>
      <c r="H13">
        <v>90.2</v>
      </c>
    </row>
    <row r="14" spans="1:8" x14ac:dyDescent="0.3">
      <c r="A14">
        <v>1091117327275</v>
      </c>
      <c r="B14">
        <v>2001807956</v>
      </c>
      <c r="C14">
        <v>1.08</v>
      </c>
      <c r="D14">
        <v>121003</v>
      </c>
      <c r="E14">
        <v>248006</v>
      </c>
      <c r="F14" t="s">
        <v>75</v>
      </c>
      <c r="G14" t="s">
        <v>84</v>
      </c>
      <c r="H14">
        <v>89.6</v>
      </c>
    </row>
    <row r="15" spans="1:8" x14ac:dyDescent="0.3">
      <c r="A15">
        <v>1091117327312</v>
      </c>
      <c r="B15">
        <v>2001807960</v>
      </c>
      <c r="C15">
        <v>1</v>
      </c>
      <c r="D15">
        <v>121003</v>
      </c>
      <c r="E15">
        <v>485001</v>
      </c>
      <c r="F15" t="s">
        <v>74</v>
      </c>
      <c r="G15" t="s">
        <v>84</v>
      </c>
      <c r="H15">
        <v>90.2</v>
      </c>
    </row>
    <row r="16" spans="1:8" x14ac:dyDescent="0.3">
      <c r="A16">
        <v>1091117327695</v>
      </c>
      <c r="B16">
        <v>2001807930</v>
      </c>
      <c r="C16">
        <v>0.15</v>
      </c>
      <c r="D16">
        <v>121003</v>
      </c>
      <c r="E16">
        <v>845438</v>
      </c>
      <c r="F16" t="s">
        <v>74</v>
      </c>
      <c r="G16" t="s">
        <v>84</v>
      </c>
      <c r="H16">
        <v>45.4</v>
      </c>
    </row>
    <row r="17" spans="1:8" x14ac:dyDescent="0.3">
      <c r="A17">
        <v>1091117435005</v>
      </c>
      <c r="B17">
        <v>2001808102</v>
      </c>
      <c r="C17">
        <v>1.28</v>
      </c>
      <c r="D17">
        <v>121003</v>
      </c>
      <c r="E17">
        <v>463106</v>
      </c>
      <c r="F17" t="s">
        <v>74</v>
      </c>
      <c r="G17" t="s">
        <v>84</v>
      </c>
      <c r="H17">
        <v>135</v>
      </c>
    </row>
    <row r="18" spans="1:8" x14ac:dyDescent="0.3">
      <c r="A18">
        <v>1091117435134</v>
      </c>
      <c r="B18">
        <v>2001808118</v>
      </c>
      <c r="C18">
        <v>0.5</v>
      </c>
      <c r="D18">
        <v>121003</v>
      </c>
      <c r="E18">
        <v>140301</v>
      </c>
      <c r="F18" t="s">
        <v>75</v>
      </c>
      <c r="G18" t="s">
        <v>84</v>
      </c>
      <c r="H18">
        <v>33</v>
      </c>
    </row>
    <row r="19" spans="1:8" x14ac:dyDescent="0.3">
      <c r="A19">
        <v>1091117435370</v>
      </c>
      <c r="B19">
        <v>2001808207</v>
      </c>
      <c r="C19">
        <v>0.79</v>
      </c>
      <c r="D19">
        <v>121003</v>
      </c>
      <c r="E19">
        <v>495671</v>
      </c>
      <c r="F19" t="s">
        <v>74</v>
      </c>
      <c r="G19" t="s">
        <v>84</v>
      </c>
      <c r="H19">
        <v>90.2</v>
      </c>
    </row>
    <row r="20" spans="1:8" x14ac:dyDescent="0.3">
      <c r="A20">
        <v>1091117435661</v>
      </c>
      <c r="B20">
        <v>2001808295</v>
      </c>
      <c r="C20">
        <v>0.2</v>
      </c>
      <c r="D20">
        <v>121003</v>
      </c>
      <c r="E20">
        <v>673002</v>
      </c>
      <c r="F20" t="s">
        <v>76</v>
      </c>
      <c r="G20" t="s">
        <v>85</v>
      </c>
      <c r="H20">
        <v>107.3</v>
      </c>
    </row>
    <row r="21" spans="1:8" x14ac:dyDescent="0.3">
      <c r="A21">
        <v>1091117436383</v>
      </c>
      <c r="B21">
        <v>2001808507</v>
      </c>
      <c r="C21">
        <v>0.79</v>
      </c>
      <c r="D21">
        <v>121003</v>
      </c>
      <c r="E21">
        <v>208002</v>
      </c>
      <c r="F21" t="s">
        <v>75</v>
      </c>
      <c r="G21" t="s">
        <v>84</v>
      </c>
      <c r="H21">
        <v>61.3</v>
      </c>
    </row>
    <row r="22" spans="1:8" x14ac:dyDescent="0.3">
      <c r="A22">
        <v>1091117436464</v>
      </c>
      <c r="B22">
        <v>2001808542</v>
      </c>
      <c r="C22">
        <v>0.86</v>
      </c>
      <c r="D22">
        <v>121003</v>
      </c>
      <c r="E22">
        <v>416010</v>
      </c>
      <c r="F22" t="s">
        <v>74</v>
      </c>
      <c r="G22" t="s">
        <v>84</v>
      </c>
      <c r="H22">
        <v>90.2</v>
      </c>
    </row>
    <row r="23" spans="1:8" x14ac:dyDescent="0.3">
      <c r="A23">
        <v>1091117437050</v>
      </c>
      <c r="B23">
        <v>2001808675</v>
      </c>
      <c r="C23">
        <v>1.2</v>
      </c>
      <c r="D23">
        <v>121003</v>
      </c>
      <c r="E23">
        <v>226010</v>
      </c>
      <c r="F23" t="s">
        <v>75</v>
      </c>
      <c r="G23" t="s">
        <v>84</v>
      </c>
      <c r="H23">
        <v>89.6</v>
      </c>
    </row>
    <row r="24" spans="1:8" x14ac:dyDescent="0.3">
      <c r="A24">
        <v>1091117327496</v>
      </c>
      <c r="B24">
        <v>2001807976</v>
      </c>
      <c r="C24">
        <v>0.7</v>
      </c>
      <c r="D24">
        <v>121003</v>
      </c>
      <c r="E24">
        <v>400705</v>
      </c>
      <c r="F24" t="s">
        <v>74</v>
      </c>
      <c r="G24" t="s">
        <v>85</v>
      </c>
      <c r="H24">
        <v>172.8</v>
      </c>
    </row>
    <row r="25" spans="1:8" x14ac:dyDescent="0.3">
      <c r="A25">
        <v>1091118547832</v>
      </c>
      <c r="B25">
        <v>2001812838</v>
      </c>
      <c r="C25">
        <v>0.6</v>
      </c>
      <c r="D25">
        <v>121003</v>
      </c>
      <c r="E25">
        <v>262405</v>
      </c>
      <c r="F25" t="s">
        <v>75</v>
      </c>
      <c r="G25" t="s">
        <v>85</v>
      </c>
      <c r="H25">
        <v>102.3</v>
      </c>
    </row>
    <row r="26" spans="1:8" x14ac:dyDescent="0.3">
      <c r="A26">
        <v>1091119398844</v>
      </c>
      <c r="B26">
        <v>2001816684</v>
      </c>
      <c r="C26">
        <v>0.99</v>
      </c>
      <c r="D26">
        <v>121003</v>
      </c>
      <c r="E26">
        <v>394210</v>
      </c>
      <c r="F26" t="s">
        <v>74</v>
      </c>
      <c r="G26" t="s">
        <v>85</v>
      </c>
      <c r="H26">
        <v>172.8</v>
      </c>
    </row>
    <row r="27" spans="1:8" x14ac:dyDescent="0.3">
      <c r="A27">
        <v>1091119630264</v>
      </c>
      <c r="B27">
        <v>2001817160</v>
      </c>
      <c r="C27">
        <v>0.7</v>
      </c>
      <c r="D27">
        <v>121003</v>
      </c>
      <c r="E27">
        <v>411014</v>
      </c>
      <c r="F27" t="s">
        <v>74</v>
      </c>
      <c r="G27" t="s">
        <v>85</v>
      </c>
      <c r="H27">
        <v>172.8</v>
      </c>
    </row>
    <row r="28" spans="1:8" x14ac:dyDescent="0.3">
      <c r="A28">
        <v>1091120014461</v>
      </c>
      <c r="B28">
        <v>2001818390</v>
      </c>
      <c r="C28">
        <v>0.8</v>
      </c>
      <c r="D28">
        <v>121003</v>
      </c>
      <c r="E28">
        <v>783301</v>
      </c>
      <c r="F28" t="s">
        <v>76</v>
      </c>
      <c r="G28" t="s">
        <v>85</v>
      </c>
      <c r="H28">
        <v>213.5</v>
      </c>
    </row>
    <row r="29" spans="1:8" x14ac:dyDescent="0.3">
      <c r="A29">
        <v>1091120959015</v>
      </c>
      <c r="B29">
        <v>2001821190</v>
      </c>
      <c r="C29">
        <v>1.2</v>
      </c>
      <c r="D29">
        <v>121003</v>
      </c>
      <c r="E29">
        <v>486661</v>
      </c>
      <c r="F29" t="s">
        <v>74</v>
      </c>
      <c r="G29" t="s">
        <v>85</v>
      </c>
      <c r="H29">
        <v>258.89999999999998</v>
      </c>
    </row>
    <row r="30" spans="1:8" x14ac:dyDescent="0.3">
      <c r="A30">
        <v>1091121485824</v>
      </c>
      <c r="B30">
        <v>2001817093</v>
      </c>
      <c r="C30">
        <v>1.3</v>
      </c>
      <c r="D30">
        <v>121003</v>
      </c>
      <c r="E30">
        <v>244001</v>
      </c>
      <c r="F30" t="s">
        <v>75</v>
      </c>
      <c r="G30" t="s">
        <v>85</v>
      </c>
      <c r="H30">
        <v>151.1</v>
      </c>
    </row>
    <row r="31" spans="1:8" x14ac:dyDescent="0.3">
      <c r="A31">
        <v>1091121666133</v>
      </c>
      <c r="B31">
        <v>2001823564</v>
      </c>
      <c r="C31">
        <v>0.7</v>
      </c>
      <c r="D31">
        <v>121003</v>
      </c>
      <c r="E31">
        <v>492001</v>
      </c>
      <c r="F31" t="s">
        <v>74</v>
      </c>
      <c r="G31" t="s">
        <v>85</v>
      </c>
      <c r="H31">
        <v>172.8</v>
      </c>
    </row>
    <row r="32" spans="1:8" x14ac:dyDescent="0.3">
      <c r="A32">
        <v>1091121981575</v>
      </c>
      <c r="B32">
        <v>2001825261</v>
      </c>
      <c r="C32">
        <v>1.6</v>
      </c>
      <c r="D32">
        <v>121003</v>
      </c>
      <c r="E32">
        <v>517128</v>
      </c>
      <c r="F32" t="s">
        <v>74</v>
      </c>
      <c r="G32" t="s">
        <v>85</v>
      </c>
      <c r="H32">
        <v>345</v>
      </c>
    </row>
    <row r="33" spans="1:8" x14ac:dyDescent="0.3">
      <c r="A33">
        <v>1091117957780</v>
      </c>
      <c r="B33">
        <v>2001811192</v>
      </c>
      <c r="C33">
        <v>1.1299999999999999</v>
      </c>
      <c r="D33">
        <v>121003</v>
      </c>
      <c r="E33">
        <v>562110</v>
      </c>
      <c r="F33" t="s">
        <v>74</v>
      </c>
      <c r="G33" t="s">
        <v>85</v>
      </c>
      <c r="H33">
        <v>258.89999999999998</v>
      </c>
    </row>
    <row r="34" spans="1:8" x14ac:dyDescent="0.3">
      <c r="A34">
        <v>1091121482593</v>
      </c>
      <c r="B34">
        <v>2001809917</v>
      </c>
      <c r="C34">
        <v>0.6</v>
      </c>
      <c r="D34">
        <v>121003</v>
      </c>
      <c r="E34">
        <v>831006</v>
      </c>
      <c r="F34" t="s">
        <v>74</v>
      </c>
      <c r="G34" t="s">
        <v>85</v>
      </c>
      <c r="H34">
        <v>172.8</v>
      </c>
    </row>
    <row r="35" spans="1:8" x14ac:dyDescent="0.3">
      <c r="A35">
        <v>1091117221940</v>
      </c>
      <c r="B35">
        <v>2001806210</v>
      </c>
      <c r="C35">
        <v>2.92</v>
      </c>
      <c r="D35">
        <v>121003</v>
      </c>
      <c r="E35">
        <v>140604</v>
      </c>
      <c r="F35" t="s">
        <v>75</v>
      </c>
      <c r="G35" t="s">
        <v>84</v>
      </c>
      <c r="H35">
        <v>174.5</v>
      </c>
    </row>
    <row r="36" spans="1:8" x14ac:dyDescent="0.3">
      <c r="A36">
        <v>1091117222065</v>
      </c>
      <c r="B36">
        <v>2001806226</v>
      </c>
      <c r="C36">
        <v>0.68</v>
      </c>
      <c r="D36">
        <v>121003</v>
      </c>
      <c r="E36">
        <v>723146</v>
      </c>
      <c r="F36" t="s">
        <v>74</v>
      </c>
      <c r="G36" t="s">
        <v>84</v>
      </c>
      <c r="H36">
        <v>90.2</v>
      </c>
    </row>
    <row r="37" spans="1:8" x14ac:dyDescent="0.3">
      <c r="A37">
        <v>1091117222080</v>
      </c>
      <c r="B37">
        <v>2001806229</v>
      </c>
      <c r="C37">
        <v>0.71</v>
      </c>
      <c r="D37">
        <v>121003</v>
      </c>
      <c r="E37">
        <v>421204</v>
      </c>
      <c r="F37" t="s">
        <v>74</v>
      </c>
      <c r="G37" t="s">
        <v>84</v>
      </c>
      <c r="H37">
        <v>90.2</v>
      </c>
    </row>
    <row r="38" spans="1:8" x14ac:dyDescent="0.3">
      <c r="A38">
        <v>1091117222135</v>
      </c>
      <c r="B38">
        <v>2001806233</v>
      </c>
      <c r="C38">
        <v>0.78</v>
      </c>
      <c r="D38">
        <v>121003</v>
      </c>
      <c r="E38">
        <v>263139</v>
      </c>
      <c r="F38" t="s">
        <v>75</v>
      </c>
      <c r="G38" t="s">
        <v>84</v>
      </c>
      <c r="H38">
        <v>61.3</v>
      </c>
    </row>
    <row r="39" spans="1:8" x14ac:dyDescent="0.3">
      <c r="A39">
        <v>1091117222146</v>
      </c>
      <c r="B39">
        <v>2001806251</v>
      </c>
      <c r="C39">
        <v>1.27</v>
      </c>
      <c r="D39">
        <v>121003</v>
      </c>
      <c r="E39">
        <v>743263</v>
      </c>
      <c r="F39" t="s">
        <v>74</v>
      </c>
      <c r="G39" t="s">
        <v>84</v>
      </c>
      <c r="H39">
        <v>135</v>
      </c>
    </row>
    <row r="40" spans="1:8" x14ac:dyDescent="0.3">
      <c r="A40">
        <v>1091117222570</v>
      </c>
      <c r="B40">
        <v>2001806338</v>
      </c>
      <c r="C40">
        <v>0.7</v>
      </c>
      <c r="D40">
        <v>121003</v>
      </c>
      <c r="E40">
        <v>392150</v>
      </c>
      <c r="F40" t="s">
        <v>74</v>
      </c>
      <c r="G40" t="s">
        <v>84</v>
      </c>
      <c r="H40">
        <v>90.2</v>
      </c>
    </row>
    <row r="41" spans="1:8" x14ac:dyDescent="0.3">
      <c r="A41">
        <v>1091117223211</v>
      </c>
      <c r="B41">
        <v>2001806446</v>
      </c>
      <c r="C41">
        <v>0.69</v>
      </c>
      <c r="D41">
        <v>121003</v>
      </c>
      <c r="E41">
        <v>382830</v>
      </c>
      <c r="F41" t="s">
        <v>74</v>
      </c>
      <c r="G41" t="s">
        <v>84</v>
      </c>
      <c r="H41">
        <v>90.2</v>
      </c>
    </row>
    <row r="42" spans="1:8" x14ac:dyDescent="0.3">
      <c r="A42">
        <v>1091117224353</v>
      </c>
      <c r="B42">
        <v>2001806533</v>
      </c>
      <c r="C42">
        <v>0.68</v>
      </c>
      <c r="D42">
        <v>121003</v>
      </c>
      <c r="E42">
        <v>711303</v>
      </c>
      <c r="F42" t="s">
        <v>74</v>
      </c>
      <c r="G42" t="s">
        <v>84</v>
      </c>
      <c r="H42">
        <v>90.2</v>
      </c>
    </row>
    <row r="43" spans="1:8" x14ac:dyDescent="0.3">
      <c r="A43">
        <v>1091117224611</v>
      </c>
      <c r="B43">
        <v>2001806547</v>
      </c>
      <c r="C43">
        <v>1</v>
      </c>
      <c r="D43">
        <v>121003</v>
      </c>
      <c r="E43">
        <v>283102</v>
      </c>
      <c r="F43" t="s">
        <v>75</v>
      </c>
      <c r="G43" t="s">
        <v>84</v>
      </c>
      <c r="H43">
        <v>61.3</v>
      </c>
    </row>
    <row r="44" spans="1:8" x14ac:dyDescent="0.3">
      <c r="A44">
        <v>1091117224902</v>
      </c>
      <c r="B44">
        <v>2001806567</v>
      </c>
      <c r="C44">
        <v>1.1599999999999999</v>
      </c>
      <c r="D44">
        <v>121003</v>
      </c>
      <c r="E44">
        <v>370201</v>
      </c>
      <c r="F44" t="s">
        <v>74</v>
      </c>
      <c r="G44" t="s">
        <v>84</v>
      </c>
      <c r="H44">
        <v>135</v>
      </c>
    </row>
    <row r="45" spans="1:8" x14ac:dyDescent="0.3">
      <c r="A45">
        <v>1091117225016</v>
      </c>
      <c r="B45">
        <v>2001806575</v>
      </c>
      <c r="C45">
        <v>0.68</v>
      </c>
      <c r="D45">
        <v>121003</v>
      </c>
      <c r="E45">
        <v>248001</v>
      </c>
      <c r="F45" t="s">
        <v>75</v>
      </c>
      <c r="G45" t="s">
        <v>84</v>
      </c>
      <c r="H45">
        <v>61.3</v>
      </c>
    </row>
    <row r="46" spans="1:8" x14ac:dyDescent="0.3">
      <c r="A46">
        <v>1091117225484</v>
      </c>
      <c r="B46">
        <v>2001806616</v>
      </c>
      <c r="C46">
        <v>1.08</v>
      </c>
      <c r="D46">
        <v>121003</v>
      </c>
      <c r="E46">
        <v>144001</v>
      </c>
      <c r="F46" t="s">
        <v>75</v>
      </c>
      <c r="G46" t="s">
        <v>84</v>
      </c>
      <c r="H46">
        <v>89.6</v>
      </c>
    </row>
    <row r="47" spans="1:8" x14ac:dyDescent="0.3">
      <c r="A47">
        <v>1091117226221</v>
      </c>
      <c r="B47">
        <v>2001806652</v>
      </c>
      <c r="C47">
        <v>0.69</v>
      </c>
      <c r="D47">
        <v>121003</v>
      </c>
      <c r="E47">
        <v>403401</v>
      </c>
      <c r="F47" t="s">
        <v>74</v>
      </c>
      <c r="G47" t="s">
        <v>84</v>
      </c>
      <c r="H47">
        <v>90.2</v>
      </c>
    </row>
    <row r="48" spans="1:8" x14ac:dyDescent="0.3">
      <c r="A48">
        <v>1091117226674</v>
      </c>
      <c r="B48">
        <v>2001806733</v>
      </c>
      <c r="C48">
        <v>1.1299999999999999</v>
      </c>
      <c r="D48">
        <v>121003</v>
      </c>
      <c r="E48">
        <v>452001</v>
      </c>
      <c r="F48" t="s">
        <v>74</v>
      </c>
      <c r="G48" t="s">
        <v>84</v>
      </c>
      <c r="H48">
        <v>135</v>
      </c>
    </row>
    <row r="49" spans="1:8" x14ac:dyDescent="0.3">
      <c r="A49">
        <v>1091117226711</v>
      </c>
      <c r="B49">
        <v>2001806735</v>
      </c>
      <c r="C49">
        <v>0.69</v>
      </c>
      <c r="D49">
        <v>121003</v>
      </c>
      <c r="E49">
        <v>721636</v>
      </c>
      <c r="F49" t="s">
        <v>74</v>
      </c>
      <c r="G49" t="s">
        <v>84</v>
      </c>
      <c r="H49">
        <v>90.2</v>
      </c>
    </row>
    <row r="50" spans="1:8" x14ac:dyDescent="0.3">
      <c r="A50">
        <v>1091117226910</v>
      </c>
      <c r="B50">
        <v>2001806726</v>
      </c>
      <c r="C50">
        <v>0.68</v>
      </c>
      <c r="D50">
        <v>121003</v>
      </c>
      <c r="E50">
        <v>831002</v>
      </c>
      <c r="F50" t="s">
        <v>74</v>
      </c>
      <c r="G50" t="s">
        <v>84</v>
      </c>
      <c r="H50">
        <v>90.2</v>
      </c>
    </row>
    <row r="51" spans="1:8" x14ac:dyDescent="0.3">
      <c r="A51">
        <v>1091117227573</v>
      </c>
      <c r="B51">
        <v>2001806776</v>
      </c>
      <c r="C51">
        <v>2.86</v>
      </c>
      <c r="D51">
        <v>121003</v>
      </c>
      <c r="E51">
        <v>226004</v>
      </c>
      <c r="F51" t="s">
        <v>75</v>
      </c>
      <c r="G51" t="s">
        <v>84</v>
      </c>
      <c r="H51">
        <v>174.5</v>
      </c>
    </row>
    <row r="52" spans="1:8" x14ac:dyDescent="0.3">
      <c r="A52">
        <v>1091117227816</v>
      </c>
      <c r="B52">
        <v>2001806801</v>
      </c>
      <c r="C52">
        <v>1.35</v>
      </c>
      <c r="D52">
        <v>121003</v>
      </c>
      <c r="E52">
        <v>248001</v>
      </c>
      <c r="F52" t="s">
        <v>75</v>
      </c>
      <c r="G52" t="s">
        <v>84</v>
      </c>
      <c r="H52">
        <v>89.6</v>
      </c>
    </row>
    <row r="53" spans="1:8" x14ac:dyDescent="0.3">
      <c r="A53">
        <v>1091117229290</v>
      </c>
      <c r="B53">
        <v>2001807004</v>
      </c>
      <c r="C53">
        <v>0.68</v>
      </c>
      <c r="D53">
        <v>121003</v>
      </c>
      <c r="E53">
        <v>410206</v>
      </c>
      <c r="F53" t="s">
        <v>74</v>
      </c>
      <c r="G53" t="s">
        <v>84</v>
      </c>
      <c r="H53">
        <v>90.2</v>
      </c>
    </row>
    <row r="54" spans="1:8" x14ac:dyDescent="0.3">
      <c r="A54">
        <v>1091117323005</v>
      </c>
      <c r="B54">
        <v>2001807036</v>
      </c>
      <c r="C54">
        <v>1.64</v>
      </c>
      <c r="D54">
        <v>121003</v>
      </c>
      <c r="E54">
        <v>516503</v>
      </c>
      <c r="F54" t="s">
        <v>74</v>
      </c>
      <c r="G54" t="s">
        <v>84</v>
      </c>
      <c r="H54">
        <v>179.8</v>
      </c>
    </row>
    <row r="55" spans="1:8" x14ac:dyDescent="0.3">
      <c r="A55">
        <v>1091117323215</v>
      </c>
      <c r="B55">
        <v>2001807084</v>
      </c>
      <c r="C55">
        <v>0.67</v>
      </c>
      <c r="D55">
        <v>121003</v>
      </c>
      <c r="E55">
        <v>742103</v>
      </c>
      <c r="F55" t="s">
        <v>74</v>
      </c>
      <c r="G55" t="s">
        <v>84</v>
      </c>
      <c r="H55">
        <v>90.2</v>
      </c>
    </row>
    <row r="56" spans="1:8" x14ac:dyDescent="0.3">
      <c r="A56">
        <v>1091117324394</v>
      </c>
      <c r="B56">
        <v>2001807362</v>
      </c>
      <c r="C56">
        <v>2</v>
      </c>
      <c r="D56">
        <v>121003</v>
      </c>
      <c r="E56">
        <v>452018</v>
      </c>
      <c r="F56" t="s">
        <v>74</v>
      </c>
      <c r="G56" t="s">
        <v>84</v>
      </c>
      <c r="H56">
        <v>179.8</v>
      </c>
    </row>
    <row r="57" spans="1:8" x14ac:dyDescent="0.3">
      <c r="A57">
        <v>1091117325094</v>
      </c>
      <c r="B57">
        <v>2001807415</v>
      </c>
      <c r="C57">
        <v>1</v>
      </c>
      <c r="D57">
        <v>121003</v>
      </c>
      <c r="E57">
        <v>208001</v>
      </c>
      <c r="F57" t="s">
        <v>75</v>
      </c>
      <c r="G57" t="s">
        <v>84</v>
      </c>
      <c r="H57">
        <v>61.3</v>
      </c>
    </row>
    <row r="58" spans="1:8" x14ac:dyDescent="0.3">
      <c r="A58">
        <v>1091117616121</v>
      </c>
      <c r="B58">
        <v>2001809592</v>
      </c>
      <c r="C58">
        <v>1.5</v>
      </c>
      <c r="D58">
        <v>121003</v>
      </c>
      <c r="E58">
        <v>244713</v>
      </c>
      <c r="F58" t="s">
        <v>75</v>
      </c>
      <c r="G58" t="s">
        <v>84</v>
      </c>
      <c r="H58">
        <v>89.6</v>
      </c>
    </row>
    <row r="59" spans="1:8" x14ac:dyDescent="0.3">
      <c r="A59">
        <v>1091117795531</v>
      </c>
      <c r="B59">
        <v>2001809794</v>
      </c>
      <c r="C59">
        <v>1.5</v>
      </c>
      <c r="D59">
        <v>121003</v>
      </c>
      <c r="E59">
        <v>580007</v>
      </c>
      <c r="F59" t="s">
        <v>74</v>
      </c>
      <c r="G59" t="s">
        <v>84</v>
      </c>
      <c r="H59">
        <v>135</v>
      </c>
    </row>
    <row r="60" spans="1:8" x14ac:dyDescent="0.3">
      <c r="A60">
        <v>1091117795623</v>
      </c>
      <c r="B60">
        <v>2001809820</v>
      </c>
      <c r="C60">
        <v>3</v>
      </c>
      <c r="D60">
        <v>121003</v>
      </c>
      <c r="E60">
        <v>360005</v>
      </c>
      <c r="F60" t="s">
        <v>74</v>
      </c>
      <c r="G60" t="s">
        <v>84</v>
      </c>
      <c r="H60">
        <v>269.39999999999998</v>
      </c>
    </row>
    <row r="61" spans="1:8" x14ac:dyDescent="0.3">
      <c r="A61">
        <v>1091117223351</v>
      </c>
      <c r="B61">
        <v>2001806471</v>
      </c>
      <c r="C61">
        <v>1.7</v>
      </c>
      <c r="D61">
        <v>121003</v>
      </c>
      <c r="E61">
        <v>313027</v>
      </c>
      <c r="F61" t="s">
        <v>74</v>
      </c>
      <c r="G61" t="s">
        <v>84</v>
      </c>
      <c r="H61">
        <v>179.8</v>
      </c>
    </row>
    <row r="62" spans="1:8" x14ac:dyDescent="0.3">
      <c r="A62">
        <v>1091117324011</v>
      </c>
      <c r="B62">
        <v>2001807241</v>
      </c>
      <c r="C62">
        <v>0.79</v>
      </c>
      <c r="D62">
        <v>121003</v>
      </c>
      <c r="E62">
        <v>341001</v>
      </c>
      <c r="F62" t="s">
        <v>74</v>
      </c>
      <c r="G62" t="s">
        <v>84</v>
      </c>
      <c r="H62">
        <v>90.2</v>
      </c>
    </row>
    <row r="63" spans="1:8" x14ac:dyDescent="0.3">
      <c r="A63">
        <v>1091117327570</v>
      </c>
      <c r="B63">
        <v>2001807981</v>
      </c>
      <c r="C63">
        <v>0.5</v>
      </c>
      <c r="D63">
        <v>121003</v>
      </c>
      <c r="E63">
        <v>332715</v>
      </c>
      <c r="F63" t="s">
        <v>74</v>
      </c>
      <c r="G63" t="s">
        <v>84</v>
      </c>
      <c r="H63">
        <v>45.4</v>
      </c>
    </row>
    <row r="64" spans="1:8" x14ac:dyDescent="0.3">
      <c r="A64">
        <v>1091117435602</v>
      </c>
      <c r="B64">
        <v>2001808286</v>
      </c>
      <c r="C64">
        <v>0.77</v>
      </c>
      <c r="D64">
        <v>121003</v>
      </c>
      <c r="E64">
        <v>302031</v>
      </c>
      <c r="F64" t="s">
        <v>74</v>
      </c>
      <c r="G64" t="s">
        <v>84</v>
      </c>
      <c r="H64">
        <v>90.2</v>
      </c>
    </row>
    <row r="65" spans="1:8" x14ac:dyDescent="0.3">
      <c r="A65">
        <v>1091117437680</v>
      </c>
      <c r="B65">
        <v>2001808801</v>
      </c>
      <c r="C65">
        <v>0.8</v>
      </c>
      <c r="D65">
        <v>121003</v>
      </c>
      <c r="E65">
        <v>335001</v>
      </c>
      <c r="F65" t="s">
        <v>74</v>
      </c>
      <c r="G65" t="s">
        <v>84</v>
      </c>
      <c r="H65">
        <v>90.2</v>
      </c>
    </row>
    <row r="66" spans="1:8" x14ac:dyDescent="0.3">
      <c r="A66">
        <v>1091117804200</v>
      </c>
      <c r="B66">
        <v>2001810104</v>
      </c>
      <c r="C66">
        <v>0.76</v>
      </c>
      <c r="D66">
        <v>121003</v>
      </c>
      <c r="E66">
        <v>334004</v>
      </c>
      <c r="F66" t="s">
        <v>74</v>
      </c>
      <c r="G66" t="s">
        <v>84</v>
      </c>
      <c r="H66">
        <v>90.2</v>
      </c>
    </row>
    <row r="67" spans="1:8" x14ac:dyDescent="0.3">
      <c r="A67">
        <v>1091117957533</v>
      </c>
      <c r="B67">
        <v>2001811153</v>
      </c>
      <c r="C67">
        <v>0.76</v>
      </c>
      <c r="D67">
        <v>121003</v>
      </c>
      <c r="E67">
        <v>321001</v>
      </c>
      <c r="F67" t="s">
        <v>74</v>
      </c>
      <c r="G67" t="s">
        <v>84</v>
      </c>
      <c r="H67">
        <v>90.2</v>
      </c>
    </row>
    <row r="68" spans="1:8" x14ac:dyDescent="0.3">
      <c r="A68">
        <v>1091117957942</v>
      </c>
      <c r="B68">
        <v>2001811229</v>
      </c>
      <c r="C68">
        <v>0.6</v>
      </c>
      <c r="D68">
        <v>121003</v>
      </c>
      <c r="E68">
        <v>324001</v>
      </c>
      <c r="F68" t="s">
        <v>74</v>
      </c>
      <c r="G68" t="s">
        <v>84</v>
      </c>
      <c r="H68">
        <v>90.2</v>
      </c>
    </row>
    <row r="69" spans="1:8" x14ac:dyDescent="0.3">
      <c r="A69">
        <v>1091117958395</v>
      </c>
      <c r="B69">
        <v>2001811363</v>
      </c>
      <c r="C69">
        <v>0.59</v>
      </c>
      <c r="D69">
        <v>121003</v>
      </c>
      <c r="E69">
        <v>321608</v>
      </c>
      <c r="F69" t="s">
        <v>74</v>
      </c>
      <c r="G69" t="s">
        <v>84</v>
      </c>
      <c r="H69">
        <v>90.2</v>
      </c>
    </row>
    <row r="70" spans="1:8" x14ac:dyDescent="0.3">
      <c r="A70">
        <v>1091118001865</v>
      </c>
      <c r="B70">
        <v>2001811466</v>
      </c>
      <c r="C70">
        <v>0.8</v>
      </c>
      <c r="D70">
        <v>121003</v>
      </c>
      <c r="E70">
        <v>302002</v>
      </c>
      <c r="F70" t="s">
        <v>74</v>
      </c>
      <c r="G70" t="s">
        <v>84</v>
      </c>
      <c r="H70">
        <v>90.2</v>
      </c>
    </row>
    <row r="71" spans="1:8" x14ac:dyDescent="0.3">
      <c r="A71">
        <v>1091118009786</v>
      </c>
      <c r="B71">
        <v>2001811809</v>
      </c>
      <c r="C71">
        <v>0.5</v>
      </c>
      <c r="D71">
        <v>121003</v>
      </c>
      <c r="E71">
        <v>311011</v>
      </c>
      <c r="F71" t="s">
        <v>74</v>
      </c>
      <c r="G71" t="s">
        <v>85</v>
      </c>
      <c r="H71">
        <v>86.7</v>
      </c>
    </row>
    <row r="72" spans="1:8" x14ac:dyDescent="0.3">
      <c r="A72">
        <v>1091118548333</v>
      </c>
      <c r="B72">
        <v>2001812854</v>
      </c>
      <c r="C72">
        <v>2.94</v>
      </c>
      <c r="D72">
        <v>121003</v>
      </c>
      <c r="E72">
        <v>306302</v>
      </c>
      <c r="F72" t="s">
        <v>74</v>
      </c>
      <c r="G72" t="s">
        <v>84</v>
      </c>
      <c r="H72">
        <v>269.39999999999998</v>
      </c>
    </row>
    <row r="73" spans="1:8" x14ac:dyDescent="0.3">
      <c r="A73">
        <v>1091118553701</v>
      </c>
      <c r="B73">
        <v>2001813009</v>
      </c>
      <c r="C73">
        <v>1</v>
      </c>
      <c r="D73">
        <v>121003</v>
      </c>
      <c r="E73">
        <v>313001</v>
      </c>
      <c r="F73" t="s">
        <v>74</v>
      </c>
      <c r="G73" t="s">
        <v>84</v>
      </c>
      <c r="H73">
        <v>90.2</v>
      </c>
    </row>
    <row r="74" spans="1:8" x14ac:dyDescent="0.3">
      <c r="A74">
        <v>1091118591534</v>
      </c>
      <c r="B74">
        <v>2001812650</v>
      </c>
      <c r="C74">
        <v>0.61</v>
      </c>
      <c r="D74">
        <v>121003</v>
      </c>
      <c r="E74">
        <v>302002</v>
      </c>
      <c r="F74" t="s">
        <v>74</v>
      </c>
      <c r="G74" t="s">
        <v>84</v>
      </c>
      <c r="H74">
        <v>90.2</v>
      </c>
    </row>
    <row r="75" spans="1:8" x14ac:dyDescent="0.3">
      <c r="A75">
        <v>1091118925110</v>
      </c>
      <c r="B75">
        <v>2001814580</v>
      </c>
      <c r="C75">
        <v>0.15</v>
      </c>
      <c r="D75">
        <v>121003</v>
      </c>
      <c r="E75">
        <v>322255</v>
      </c>
      <c r="F75" t="s">
        <v>74</v>
      </c>
      <c r="G75" t="s">
        <v>85</v>
      </c>
      <c r="H75">
        <v>86.7</v>
      </c>
    </row>
    <row r="76" spans="1:8" x14ac:dyDescent="0.3">
      <c r="A76">
        <v>1091119169701</v>
      </c>
      <c r="B76">
        <v>2001815688</v>
      </c>
      <c r="C76">
        <v>0.2</v>
      </c>
      <c r="D76">
        <v>121003</v>
      </c>
      <c r="E76">
        <v>302017</v>
      </c>
      <c r="F76" t="s">
        <v>74</v>
      </c>
      <c r="G76" t="s">
        <v>84</v>
      </c>
      <c r="H76">
        <v>45.4</v>
      </c>
    </row>
    <row r="77" spans="1:8" x14ac:dyDescent="0.3">
      <c r="A77">
        <v>1091119367193</v>
      </c>
      <c r="B77">
        <v>2001816131</v>
      </c>
      <c r="C77">
        <v>0.7</v>
      </c>
      <c r="D77">
        <v>121003</v>
      </c>
      <c r="E77">
        <v>302017</v>
      </c>
      <c r="F77" t="s">
        <v>74</v>
      </c>
      <c r="G77" t="s">
        <v>84</v>
      </c>
      <c r="H77">
        <v>90.2</v>
      </c>
    </row>
    <row r="78" spans="1:8" x14ac:dyDescent="0.3">
      <c r="A78">
        <v>1091119429202</v>
      </c>
      <c r="B78">
        <v>2001816996</v>
      </c>
      <c r="C78">
        <v>0.5</v>
      </c>
      <c r="D78">
        <v>121003</v>
      </c>
      <c r="E78">
        <v>335512</v>
      </c>
      <c r="F78" t="s">
        <v>74</v>
      </c>
      <c r="G78" t="s">
        <v>84</v>
      </c>
      <c r="H78">
        <v>45.4</v>
      </c>
    </row>
    <row r="79" spans="1:8" x14ac:dyDescent="0.3">
      <c r="A79">
        <v>1091120959225</v>
      </c>
      <c r="B79">
        <v>2001821185</v>
      </c>
      <c r="C79">
        <v>2.1</v>
      </c>
      <c r="D79">
        <v>121003</v>
      </c>
      <c r="E79">
        <v>313001</v>
      </c>
      <c r="F79" t="s">
        <v>74</v>
      </c>
      <c r="G79" t="s">
        <v>84</v>
      </c>
      <c r="H79">
        <v>224.6</v>
      </c>
    </row>
    <row r="80" spans="1:8" x14ac:dyDescent="0.3">
      <c r="A80">
        <v>1091120962515</v>
      </c>
      <c r="B80">
        <v>2001821284</v>
      </c>
      <c r="C80">
        <v>0.2</v>
      </c>
      <c r="D80">
        <v>121003</v>
      </c>
      <c r="E80">
        <v>313001</v>
      </c>
      <c r="F80" t="s">
        <v>74</v>
      </c>
      <c r="G80" t="s">
        <v>84</v>
      </c>
      <c r="H80">
        <v>45.4</v>
      </c>
    </row>
    <row r="81" spans="1:8" x14ac:dyDescent="0.3">
      <c r="A81">
        <v>1091121031745</v>
      </c>
      <c r="B81">
        <v>2001821679</v>
      </c>
      <c r="C81">
        <v>0.2</v>
      </c>
      <c r="D81">
        <v>121003</v>
      </c>
      <c r="E81">
        <v>307026</v>
      </c>
      <c r="F81" t="s">
        <v>74</v>
      </c>
      <c r="G81" t="s">
        <v>84</v>
      </c>
      <c r="H81">
        <v>45.4</v>
      </c>
    </row>
    <row r="82" spans="1:8" x14ac:dyDescent="0.3">
      <c r="A82">
        <v>1091121034114</v>
      </c>
      <c r="B82">
        <v>2001821742</v>
      </c>
      <c r="C82">
        <v>0.15</v>
      </c>
      <c r="D82">
        <v>121003</v>
      </c>
      <c r="E82">
        <v>327025</v>
      </c>
      <c r="F82" t="s">
        <v>74</v>
      </c>
      <c r="G82" t="s">
        <v>84</v>
      </c>
      <c r="H82">
        <v>45.4</v>
      </c>
    </row>
    <row r="83" spans="1:8" x14ac:dyDescent="0.3">
      <c r="A83">
        <v>1091121034350</v>
      </c>
      <c r="B83">
        <v>2001821750</v>
      </c>
      <c r="C83">
        <v>0.8</v>
      </c>
      <c r="D83">
        <v>121003</v>
      </c>
      <c r="E83">
        <v>313333</v>
      </c>
      <c r="F83" t="s">
        <v>74</v>
      </c>
      <c r="G83" t="s">
        <v>84</v>
      </c>
      <c r="H83">
        <v>90.2</v>
      </c>
    </row>
    <row r="84" spans="1:8" x14ac:dyDescent="0.3">
      <c r="A84">
        <v>1091121034641</v>
      </c>
      <c r="B84">
        <v>2001821766</v>
      </c>
      <c r="C84">
        <v>0.2</v>
      </c>
      <c r="D84">
        <v>121003</v>
      </c>
      <c r="E84">
        <v>313001</v>
      </c>
      <c r="F84" t="s">
        <v>74</v>
      </c>
      <c r="G84" t="s">
        <v>84</v>
      </c>
      <c r="H84">
        <v>45.4</v>
      </c>
    </row>
    <row r="85" spans="1:8" x14ac:dyDescent="0.3">
      <c r="A85">
        <v>1091121183730</v>
      </c>
      <c r="B85">
        <v>2001821995</v>
      </c>
      <c r="C85">
        <v>0.5</v>
      </c>
      <c r="D85">
        <v>121003</v>
      </c>
      <c r="E85">
        <v>342008</v>
      </c>
      <c r="F85" t="s">
        <v>74</v>
      </c>
      <c r="G85" t="s">
        <v>84</v>
      </c>
      <c r="H85">
        <v>45.4</v>
      </c>
    </row>
    <row r="86" spans="1:8" x14ac:dyDescent="0.3">
      <c r="A86">
        <v>1091121185863</v>
      </c>
      <c r="B86">
        <v>2001821502</v>
      </c>
      <c r="C86">
        <v>0.6</v>
      </c>
      <c r="D86">
        <v>121003</v>
      </c>
      <c r="E86">
        <v>314401</v>
      </c>
      <c r="F86" t="s">
        <v>74</v>
      </c>
      <c r="G86" t="s">
        <v>84</v>
      </c>
      <c r="H86">
        <v>90.2</v>
      </c>
    </row>
    <row r="87" spans="1:8" x14ac:dyDescent="0.3">
      <c r="A87">
        <v>1091121305541</v>
      </c>
      <c r="B87">
        <v>2001822466</v>
      </c>
      <c r="C87">
        <v>1.1000000000000001</v>
      </c>
      <c r="D87">
        <v>121003</v>
      </c>
      <c r="E87">
        <v>342301</v>
      </c>
      <c r="F87" t="s">
        <v>74</v>
      </c>
      <c r="G87" t="s">
        <v>84</v>
      </c>
      <c r="H87">
        <v>135</v>
      </c>
    </row>
    <row r="88" spans="1:8" x14ac:dyDescent="0.3">
      <c r="A88">
        <v>1091121306101</v>
      </c>
      <c r="B88">
        <v>2001820690</v>
      </c>
      <c r="C88">
        <v>0.15</v>
      </c>
      <c r="D88">
        <v>121003</v>
      </c>
      <c r="E88">
        <v>313003</v>
      </c>
      <c r="F88" t="s">
        <v>74</v>
      </c>
      <c r="G88" t="s">
        <v>84</v>
      </c>
      <c r="H88">
        <v>45.4</v>
      </c>
    </row>
    <row r="89" spans="1:8" x14ac:dyDescent="0.3">
      <c r="A89">
        <v>1091118004245</v>
      </c>
      <c r="B89">
        <v>2001811604</v>
      </c>
      <c r="C89">
        <v>0.8</v>
      </c>
      <c r="D89">
        <v>121003</v>
      </c>
      <c r="E89">
        <v>173212</v>
      </c>
      <c r="F89" t="s">
        <v>75</v>
      </c>
      <c r="G89" t="s">
        <v>84</v>
      </c>
      <c r="H89">
        <v>61.3</v>
      </c>
    </row>
    <row r="90" spans="1:8" x14ac:dyDescent="0.3">
      <c r="A90">
        <v>1091120352712</v>
      </c>
      <c r="B90">
        <v>2001819252</v>
      </c>
      <c r="C90">
        <v>0.3</v>
      </c>
      <c r="D90">
        <v>121003</v>
      </c>
      <c r="E90">
        <v>174101</v>
      </c>
      <c r="F90" t="s">
        <v>75</v>
      </c>
      <c r="G90" t="s">
        <v>84</v>
      </c>
      <c r="H90">
        <v>33</v>
      </c>
    </row>
    <row r="91" spans="1:8" x14ac:dyDescent="0.3">
      <c r="A91">
        <v>1091122418320</v>
      </c>
      <c r="B91">
        <v>2001827036</v>
      </c>
      <c r="C91">
        <v>1.6</v>
      </c>
      <c r="D91">
        <v>121003</v>
      </c>
      <c r="E91">
        <v>173213</v>
      </c>
      <c r="F91" t="s">
        <v>75</v>
      </c>
      <c r="G91" t="s">
        <v>84</v>
      </c>
      <c r="H91">
        <v>117.9</v>
      </c>
    </row>
    <row r="92" spans="1:8" x14ac:dyDescent="0.3">
      <c r="A92">
        <v>1091117222360</v>
      </c>
      <c r="B92">
        <v>2001806304</v>
      </c>
      <c r="C92">
        <v>0.71</v>
      </c>
      <c r="D92">
        <v>121003</v>
      </c>
      <c r="E92">
        <v>302017</v>
      </c>
      <c r="F92" t="s">
        <v>74</v>
      </c>
      <c r="G92" t="s">
        <v>84</v>
      </c>
      <c r="H92">
        <v>90.2</v>
      </c>
    </row>
    <row r="93" spans="1:8" x14ac:dyDescent="0.3">
      <c r="A93">
        <v>1091117227116</v>
      </c>
      <c r="B93">
        <v>2001806768</v>
      </c>
      <c r="C93">
        <v>1.02</v>
      </c>
      <c r="D93">
        <v>121003</v>
      </c>
      <c r="E93">
        <v>322201</v>
      </c>
      <c r="F93" t="s">
        <v>74</v>
      </c>
      <c r="G93" t="s">
        <v>84</v>
      </c>
      <c r="H93">
        <v>135</v>
      </c>
    </row>
    <row r="94" spans="1:8" x14ac:dyDescent="0.3">
      <c r="A94">
        <v>1091117228133</v>
      </c>
      <c r="B94">
        <v>2001806823</v>
      </c>
      <c r="C94">
        <v>0.59</v>
      </c>
      <c r="D94">
        <v>121003</v>
      </c>
      <c r="E94">
        <v>314001</v>
      </c>
      <c r="F94" t="s">
        <v>74</v>
      </c>
      <c r="G94" t="s">
        <v>84</v>
      </c>
      <c r="H94">
        <v>90.2</v>
      </c>
    </row>
    <row r="95" spans="1:8" x14ac:dyDescent="0.3">
      <c r="A95">
        <v>1091117228192</v>
      </c>
      <c r="B95">
        <v>2001806828</v>
      </c>
      <c r="C95">
        <v>0.69</v>
      </c>
      <c r="D95">
        <v>121003</v>
      </c>
      <c r="E95">
        <v>331022</v>
      </c>
      <c r="F95" t="s">
        <v>74</v>
      </c>
      <c r="G95" t="s">
        <v>84</v>
      </c>
      <c r="H95">
        <v>90.2</v>
      </c>
    </row>
    <row r="96" spans="1:8" x14ac:dyDescent="0.3">
      <c r="A96">
        <v>1091117229183</v>
      </c>
      <c r="B96">
        <v>2001806968</v>
      </c>
      <c r="C96">
        <v>0.68</v>
      </c>
      <c r="D96">
        <v>121003</v>
      </c>
      <c r="E96">
        <v>305801</v>
      </c>
      <c r="F96" t="s">
        <v>74</v>
      </c>
      <c r="G96" t="s">
        <v>84</v>
      </c>
      <c r="H96">
        <v>90.2</v>
      </c>
    </row>
    <row r="97" spans="1:8" x14ac:dyDescent="0.3">
      <c r="A97">
        <v>1091117324346</v>
      </c>
      <c r="B97">
        <v>2001807328</v>
      </c>
      <c r="C97">
        <v>2.2799999999999998</v>
      </c>
      <c r="D97">
        <v>121003</v>
      </c>
      <c r="E97">
        <v>335502</v>
      </c>
      <c r="F97" t="s">
        <v>74</v>
      </c>
      <c r="G97" t="s">
        <v>84</v>
      </c>
      <c r="H97">
        <v>224.6</v>
      </c>
    </row>
    <row r="98" spans="1:8" x14ac:dyDescent="0.3">
      <c r="A98">
        <v>1091117326424</v>
      </c>
      <c r="B98">
        <v>2001807785</v>
      </c>
      <c r="C98">
        <v>0.68</v>
      </c>
      <c r="D98">
        <v>121003</v>
      </c>
      <c r="E98">
        <v>306116</v>
      </c>
      <c r="F98" t="s">
        <v>74</v>
      </c>
      <c r="G98" t="s">
        <v>84</v>
      </c>
      <c r="H98">
        <v>90.2</v>
      </c>
    </row>
    <row r="99" spans="1:8" x14ac:dyDescent="0.3">
      <c r="A99">
        <v>1091117326925</v>
      </c>
      <c r="B99">
        <v>2001807852</v>
      </c>
      <c r="C99">
        <v>0.74</v>
      </c>
      <c r="D99">
        <v>121003</v>
      </c>
      <c r="E99">
        <v>311001</v>
      </c>
      <c r="F99" t="s">
        <v>74</v>
      </c>
      <c r="G99" t="s">
        <v>84</v>
      </c>
      <c r="H99">
        <v>90.2</v>
      </c>
    </row>
    <row r="100" spans="1:8" x14ac:dyDescent="0.3">
      <c r="A100">
        <v>1091117327474</v>
      </c>
      <c r="B100">
        <v>2001807970</v>
      </c>
      <c r="C100">
        <v>4.13</v>
      </c>
      <c r="D100">
        <v>121003</v>
      </c>
      <c r="E100">
        <v>302019</v>
      </c>
      <c r="F100" t="s">
        <v>74</v>
      </c>
      <c r="G100" t="s">
        <v>84</v>
      </c>
      <c r="H100">
        <v>403.8</v>
      </c>
    </row>
    <row r="101" spans="1:8" x14ac:dyDescent="0.3">
      <c r="A101">
        <v>1091117333100</v>
      </c>
      <c r="B101">
        <v>2001807329</v>
      </c>
      <c r="C101">
        <v>0.73</v>
      </c>
      <c r="D101">
        <v>121003</v>
      </c>
      <c r="E101">
        <v>302039</v>
      </c>
      <c r="F101" t="s">
        <v>74</v>
      </c>
      <c r="G101" t="s">
        <v>84</v>
      </c>
      <c r="H101">
        <v>90.2</v>
      </c>
    </row>
    <row r="102" spans="1:8" x14ac:dyDescent="0.3">
      <c r="A102">
        <v>1091117333251</v>
      </c>
      <c r="B102">
        <v>2001807613</v>
      </c>
      <c r="C102">
        <v>1.04</v>
      </c>
      <c r="D102">
        <v>121003</v>
      </c>
      <c r="E102">
        <v>335803</v>
      </c>
      <c r="F102" t="s">
        <v>74</v>
      </c>
      <c r="G102" t="s">
        <v>84</v>
      </c>
      <c r="H102">
        <v>135</v>
      </c>
    </row>
    <row r="103" spans="1:8" x14ac:dyDescent="0.3">
      <c r="A103">
        <v>1091117436346</v>
      </c>
      <c r="B103">
        <v>2001808475</v>
      </c>
      <c r="C103">
        <v>0.7</v>
      </c>
      <c r="D103">
        <v>121003</v>
      </c>
      <c r="E103">
        <v>335001</v>
      </c>
      <c r="F103" t="s">
        <v>74</v>
      </c>
      <c r="G103" t="s">
        <v>84</v>
      </c>
      <c r="H103">
        <v>90.2</v>
      </c>
    </row>
    <row r="104" spans="1:8" x14ac:dyDescent="0.3">
      <c r="A104">
        <v>1091117436652</v>
      </c>
      <c r="B104">
        <v>2001808585</v>
      </c>
      <c r="C104">
        <v>0.72</v>
      </c>
      <c r="D104">
        <v>121003</v>
      </c>
      <c r="E104">
        <v>175101</v>
      </c>
      <c r="F104" t="s">
        <v>75</v>
      </c>
      <c r="G104" t="s">
        <v>84</v>
      </c>
      <c r="H104">
        <v>61.3</v>
      </c>
    </row>
    <row r="105" spans="1:8" x14ac:dyDescent="0.3">
      <c r="A105">
        <v>1091117437035</v>
      </c>
      <c r="B105">
        <v>2001808679</v>
      </c>
      <c r="C105">
        <v>0.72</v>
      </c>
      <c r="D105">
        <v>121003</v>
      </c>
      <c r="E105">
        <v>303903</v>
      </c>
      <c r="F105" t="s">
        <v>74</v>
      </c>
      <c r="G105" t="s">
        <v>84</v>
      </c>
      <c r="H105">
        <v>90.2</v>
      </c>
    </row>
    <row r="106" spans="1:8" x14ac:dyDescent="0.3">
      <c r="A106">
        <v>1091117437293</v>
      </c>
      <c r="B106">
        <v>2001808739</v>
      </c>
      <c r="C106">
        <v>1.63</v>
      </c>
      <c r="D106">
        <v>121003</v>
      </c>
      <c r="E106">
        <v>342012</v>
      </c>
      <c r="F106" t="s">
        <v>74</v>
      </c>
      <c r="G106" t="s">
        <v>84</v>
      </c>
      <c r="H106">
        <v>179.8</v>
      </c>
    </row>
    <row r="107" spans="1:8" x14ac:dyDescent="0.3">
      <c r="A107">
        <v>1091117437864</v>
      </c>
      <c r="B107">
        <v>2001808832</v>
      </c>
      <c r="C107">
        <v>2.4700000000000002</v>
      </c>
      <c r="D107">
        <v>121003</v>
      </c>
      <c r="E107">
        <v>334001</v>
      </c>
      <c r="F107" t="s">
        <v>74</v>
      </c>
      <c r="G107" t="s">
        <v>84</v>
      </c>
      <c r="H107">
        <v>224.6</v>
      </c>
    </row>
    <row r="108" spans="1:8" x14ac:dyDescent="0.3">
      <c r="A108">
        <v>1091117437890</v>
      </c>
      <c r="B108">
        <v>2001808837</v>
      </c>
      <c r="C108">
        <v>0.67</v>
      </c>
      <c r="D108">
        <v>121003</v>
      </c>
      <c r="E108">
        <v>302031</v>
      </c>
      <c r="F108" t="s">
        <v>74</v>
      </c>
      <c r="G108" t="s">
        <v>84</v>
      </c>
      <c r="H108">
        <v>90.2</v>
      </c>
    </row>
    <row r="109" spans="1:8" x14ac:dyDescent="0.3">
      <c r="A109">
        <v>1091117438074</v>
      </c>
      <c r="B109">
        <v>2001808883</v>
      </c>
      <c r="C109">
        <v>0.72</v>
      </c>
      <c r="D109">
        <v>121003</v>
      </c>
      <c r="E109">
        <v>302012</v>
      </c>
      <c r="F109" t="s">
        <v>74</v>
      </c>
      <c r="G109" t="s">
        <v>84</v>
      </c>
      <c r="H109">
        <v>90.2</v>
      </c>
    </row>
    <row r="110" spans="1:8" x14ac:dyDescent="0.3">
      <c r="A110">
        <v>1091117611501</v>
      </c>
      <c r="B110">
        <v>2001808992</v>
      </c>
      <c r="C110">
        <v>0.72</v>
      </c>
      <c r="D110">
        <v>121003</v>
      </c>
      <c r="E110">
        <v>342014</v>
      </c>
      <c r="F110" t="s">
        <v>74</v>
      </c>
      <c r="G110" t="s">
        <v>84</v>
      </c>
      <c r="H110">
        <v>90.2</v>
      </c>
    </row>
    <row r="111" spans="1:8" x14ac:dyDescent="0.3">
      <c r="A111">
        <v>1091117613962</v>
      </c>
      <c r="B111">
        <v>2001809270</v>
      </c>
      <c r="C111">
        <v>0.68</v>
      </c>
      <c r="D111">
        <v>121003</v>
      </c>
      <c r="E111">
        <v>324005</v>
      </c>
      <c r="F111" t="s">
        <v>74</v>
      </c>
      <c r="G111" t="s">
        <v>84</v>
      </c>
      <c r="H111">
        <v>90.2</v>
      </c>
    </row>
    <row r="112" spans="1:8" x14ac:dyDescent="0.3">
      <c r="A112">
        <v>1091117803511</v>
      </c>
      <c r="B112">
        <v>2001809934</v>
      </c>
      <c r="C112">
        <v>0.82</v>
      </c>
      <c r="D112">
        <v>121003</v>
      </c>
      <c r="E112">
        <v>302001</v>
      </c>
      <c r="F112" t="s">
        <v>74</v>
      </c>
      <c r="G112" t="s">
        <v>84</v>
      </c>
      <c r="H112">
        <v>90.2</v>
      </c>
    </row>
    <row r="113" spans="1:8" x14ac:dyDescent="0.3">
      <c r="A113">
        <v>1091117804314</v>
      </c>
      <c r="B113">
        <v>2001810125</v>
      </c>
      <c r="C113">
        <v>0.66</v>
      </c>
      <c r="D113">
        <v>121003</v>
      </c>
      <c r="E113">
        <v>302004</v>
      </c>
      <c r="F113" t="s">
        <v>74</v>
      </c>
      <c r="G113" t="s">
        <v>84</v>
      </c>
      <c r="H113">
        <v>90.2</v>
      </c>
    </row>
    <row r="114" spans="1:8" x14ac:dyDescent="0.3">
      <c r="A114">
        <v>1091117805390</v>
      </c>
      <c r="B114">
        <v>2001810281</v>
      </c>
      <c r="C114">
        <v>0.68</v>
      </c>
      <c r="D114">
        <v>121003</v>
      </c>
      <c r="E114">
        <v>302018</v>
      </c>
      <c r="F114" t="s">
        <v>74</v>
      </c>
      <c r="G114" t="s">
        <v>84</v>
      </c>
      <c r="H114">
        <v>90.2</v>
      </c>
    </row>
    <row r="115" spans="1:8" x14ac:dyDescent="0.3">
      <c r="A115">
        <v>1091117806263</v>
      </c>
      <c r="B115">
        <v>2001810549</v>
      </c>
      <c r="C115">
        <v>1.86</v>
      </c>
      <c r="D115">
        <v>121003</v>
      </c>
      <c r="E115">
        <v>302017</v>
      </c>
      <c r="F115" t="s">
        <v>74</v>
      </c>
      <c r="G115" t="s">
        <v>84</v>
      </c>
      <c r="H115">
        <v>179.8</v>
      </c>
    </row>
    <row r="116" spans="1:8" x14ac:dyDescent="0.3">
      <c r="A116">
        <v>1091117807140</v>
      </c>
      <c r="B116">
        <v>2001810697</v>
      </c>
      <c r="C116">
        <v>2.27</v>
      </c>
      <c r="D116">
        <v>121003</v>
      </c>
      <c r="E116">
        <v>324008</v>
      </c>
      <c r="F116" t="s">
        <v>74</v>
      </c>
      <c r="G116" t="s">
        <v>84</v>
      </c>
      <c r="H116">
        <v>224.6</v>
      </c>
    </row>
    <row r="117" spans="1:8" x14ac:dyDescent="0.3">
      <c r="A117">
        <v>1091117904860</v>
      </c>
      <c r="B117">
        <v>2001811039</v>
      </c>
      <c r="C117">
        <v>0.68</v>
      </c>
      <c r="D117">
        <v>121003</v>
      </c>
      <c r="E117">
        <v>302020</v>
      </c>
      <c r="F117" t="s">
        <v>74</v>
      </c>
      <c r="G117" t="s">
        <v>84</v>
      </c>
      <c r="H117">
        <v>90.2</v>
      </c>
    </row>
    <row r="118" spans="1:8" x14ac:dyDescent="0.3">
      <c r="A118">
        <v>1091117905022</v>
      </c>
      <c r="B118">
        <v>2001811058</v>
      </c>
      <c r="C118">
        <v>0.72</v>
      </c>
      <c r="D118">
        <v>121003</v>
      </c>
      <c r="E118">
        <v>302018</v>
      </c>
      <c r="F118" t="s">
        <v>74</v>
      </c>
      <c r="G118" t="s">
        <v>84</v>
      </c>
      <c r="H118">
        <v>90.2</v>
      </c>
    </row>
    <row r="119" spans="1:8" x14ac:dyDescent="0.3">
      <c r="A119">
        <v>1091117958163</v>
      </c>
      <c r="B119">
        <v>2001811306</v>
      </c>
      <c r="C119">
        <v>1.1000000000000001</v>
      </c>
      <c r="D119">
        <v>121003</v>
      </c>
      <c r="E119">
        <v>302017</v>
      </c>
      <c r="F119" t="s">
        <v>74</v>
      </c>
      <c r="G119" t="s">
        <v>84</v>
      </c>
      <c r="H119">
        <v>135</v>
      </c>
    </row>
    <row r="120" spans="1:8" x14ac:dyDescent="0.3">
      <c r="A120">
        <v>1091118442390</v>
      </c>
      <c r="B120">
        <v>2001812195</v>
      </c>
      <c r="C120">
        <v>0.67</v>
      </c>
      <c r="D120">
        <v>121003</v>
      </c>
      <c r="E120">
        <v>302012</v>
      </c>
      <c r="F120" t="s">
        <v>74</v>
      </c>
      <c r="G120" t="s">
        <v>84</v>
      </c>
      <c r="H120">
        <v>90.2</v>
      </c>
    </row>
    <row r="121" spans="1:8" x14ac:dyDescent="0.3">
      <c r="A121">
        <v>1091118551656</v>
      </c>
      <c r="B121">
        <v>2001812941</v>
      </c>
      <c r="C121">
        <v>0.73</v>
      </c>
      <c r="D121">
        <v>121003</v>
      </c>
      <c r="E121">
        <v>325207</v>
      </c>
      <c r="F121" t="s">
        <v>74</v>
      </c>
      <c r="G121" t="s">
        <v>84</v>
      </c>
      <c r="H121">
        <v>90.2</v>
      </c>
    </row>
    <row r="122" spans="1:8" x14ac:dyDescent="0.3">
      <c r="A122">
        <v>1091117614452</v>
      </c>
      <c r="B122">
        <v>2001809383</v>
      </c>
      <c r="C122">
        <v>0.5</v>
      </c>
      <c r="D122">
        <v>121003</v>
      </c>
      <c r="E122">
        <v>303702</v>
      </c>
      <c r="F122" t="s">
        <v>74</v>
      </c>
      <c r="G122" t="s">
        <v>85</v>
      </c>
      <c r="H122">
        <v>86.7</v>
      </c>
    </row>
    <row r="123" spans="1:8" x14ac:dyDescent="0.3">
      <c r="A123">
        <v>1091120922803</v>
      </c>
      <c r="B123">
        <v>2001820978</v>
      </c>
      <c r="C123">
        <v>0.5</v>
      </c>
      <c r="D123">
        <v>121003</v>
      </c>
      <c r="E123">
        <v>313301</v>
      </c>
      <c r="F123" t="s">
        <v>74</v>
      </c>
      <c r="G123" t="s">
        <v>84</v>
      </c>
      <c r="H123">
        <v>45.4</v>
      </c>
    </row>
    <row r="124" spans="1:8" x14ac:dyDescent="0.3">
      <c r="A124">
        <v>1091121844806</v>
      </c>
      <c r="B124">
        <v>2001811475</v>
      </c>
      <c r="C124">
        <v>0.5</v>
      </c>
      <c r="D124">
        <v>121003</v>
      </c>
      <c r="E124">
        <v>173212</v>
      </c>
      <c r="F124" t="s">
        <v>75</v>
      </c>
      <c r="G124" t="s">
        <v>84</v>
      </c>
      <c r="H124">
        <v>33</v>
      </c>
    </row>
    <row r="125" spans="1:8" x14ac:dyDescent="0.3">
      <c r="A125">
        <v>1091121846136</v>
      </c>
      <c r="B125">
        <v>2001811305</v>
      </c>
      <c r="C125">
        <v>0.5</v>
      </c>
      <c r="D125">
        <v>121003</v>
      </c>
      <c r="E125">
        <v>302020</v>
      </c>
      <c r="F125" t="s">
        <v>74</v>
      </c>
      <c r="G125" t="s">
        <v>84</v>
      </c>
      <c r="H125">
        <v>45.4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B2524-510B-4840-A29F-5FAFBEFC6BDD}">
  <sheetPr codeName="Sheet7"/>
  <dimension ref="A1:T25"/>
  <sheetViews>
    <sheetView workbookViewId="0">
      <selection activeCell="I7" sqref="I7"/>
    </sheetView>
  </sheetViews>
  <sheetFormatPr defaultRowHeight="14.4" x14ac:dyDescent="0.3"/>
  <cols>
    <col min="1" max="1" width="21.33203125" customWidth="1"/>
    <col min="2" max="2" width="18" bestFit="1" customWidth="1"/>
    <col min="3" max="3" width="13.6640625" bestFit="1" customWidth="1"/>
    <col min="4" max="4" width="18.109375" bestFit="1" customWidth="1"/>
    <col min="5" max="5" width="21.21875" customWidth="1"/>
    <col min="6" max="6" width="17.88671875" bestFit="1" customWidth="1"/>
    <col min="7" max="7" width="13.6640625" bestFit="1" customWidth="1"/>
    <col min="8" max="8" width="18.109375" bestFit="1" customWidth="1"/>
    <col min="9" max="9" width="13.5546875" bestFit="1" customWidth="1"/>
    <col min="10" max="10" width="18" bestFit="1" customWidth="1"/>
    <col min="11" max="11" width="12.77734375" bestFit="1" customWidth="1"/>
    <col min="12" max="12" width="17.21875" bestFit="1" customWidth="1"/>
    <col min="13" max="13" width="12.88671875" bestFit="1" customWidth="1"/>
    <col min="14" max="14" width="17.33203125" bestFit="1" customWidth="1"/>
    <col min="15" max="15" width="12.6640625" bestFit="1" customWidth="1"/>
    <col min="16" max="16" width="17.109375" bestFit="1" customWidth="1"/>
    <col min="17" max="17" width="12.88671875" bestFit="1" customWidth="1"/>
    <col min="18" max="18" width="17.33203125" bestFit="1" customWidth="1"/>
    <col min="19" max="19" width="12.77734375" bestFit="1" customWidth="1"/>
    <col min="20" max="20" width="17.21875" bestFit="1" customWidth="1"/>
  </cols>
  <sheetData>
    <row r="1" spans="1:20" x14ac:dyDescent="0.3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</row>
    <row r="2" spans="1:20" x14ac:dyDescent="0.3">
      <c r="A2">
        <v>29.5</v>
      </c>
      <c r="B2">
        <v>23.6</v>
      </c>
      <c r="C2">
        <v>33</v>
      </c>
      <c r="D2">
        <v>28.3</v>
      </c>
      <c r="E2">
        <v>40.1</v>
      </c>
      <c r="F2">
        <v>38.9</v>
      </c>
      <c r="G2">
        <v>45.4</v>
      </c>
      <c r="H2">
        <v>44.8</v>
      </c>
      <c r="I2">
        <v>56.6</v>
      </c>
      <c r="J2">
        <v>55.5</v>
      </c>
      <c r="K2">
        <v>13.6</v>
      </c>
      <c r="L2">
        <v>23.6</v>
      </c>
      <c r="M2">
        <v>20.5</v>
      </c>
      <c r="N2">
        <v>28.3</v>
      </c>
      <c r="O2">
        <v>31.9</v>
      </c>
      <c r="P2">
        <v>38.9</v>
      </c>
      <c r="Q2">
        <v>41.3</v>
      </c>
      <c r="R2">
        <v>44.8</v>
      </c>
      <c r="S2">
        <v>50.7</v>
      </c>
      <c r="T2">
        <v>55.5</v>
      </c>
    </row>
    <row r="6" spans="1:20" x14ac:dyDescent="0.3">
      <c r="A6" t="str" cm="1">
        <f t="array" ref="A6:B25">TRANSPOSE(Courier_Company___Rates[#All])</f>
        <v>fwd_a_fixed</v>
      </c>
      <c r="B6">
        <v>29.5</v>
      </c>
      <c r="D6" t="str">
        <f>MID(A6,5,1)</f>
        <v>a</v>
      </c>
      <c r="E6" t="s">
        <v>125</v>
      </c>
      <c r="F6" t="s">
        <v>123</v>
      </c>
      <c r="G6" t="s">
        <v>124</v>
      </c>
    </row>
    <row r="7" spans="1:20" x14ac:dyDescent="0.3">
      <c r="A7" t="str">
        <v>fwd_a_additional</v>
      </c>
      <c r="B7">
        <v>23.6</v>
      </c>
      <c r="E7" t="s">
        <v>119</v>
      </c>
      <c r="F7" t="s">
        <v>75</v>
      </c>
      <c r="G7">
        <v>33</v>
      </c>
    </row>
    <row r="8" spans="1:20" x14ac:dyDescent="0.3">
      <c r="A8" t="str">
        <v>fwd_b_fixed</v>
      </c>
      <c r="B8">
        <v>33</v>
      </c>
      <c r="D8" t="str">
        <f t="shared" ref="D8:D25" si="0">MID(A8,5,1)</f>
        <v>b</v>
      </c>
      <c r="E8" t="s">
        <v>119</v>
      </c>
      <c r="F8" t="s">
        <v>74</v>
      </c>
      <c r="G8">
        <v>45.4</v>
      </c>
    </row>
    <row r="9" spans="1:20" x14ac:dyDescent="0.3">
      <c r="A9" t="str">
        <v>fwd_b_additional</v>
      </c>
      <c r="B9">
        <v>28.3</v>
      </c>
      <c r="E9" t="s">
        <v>119</v>
      </c>
      <c r="F9" t="s">
        <v>76</v>
      </c>
      <c r="G9">
        <v>56.6</v>
      </c>
    </row>
    <row r="10" spans="1:20" x14ac:dyDescent="0.3">
      <c r="A10" t="str">
        <v>fwd_c_fixed</v>
      </c>
      <c r="B10">
        <v>40.1</v>
      </c>
      <c r="D10" t="str">
        <f t="shared" si="0"/>
        <v>c</v>
      </c>
      <c r="E10" t="s">
        <v>120</v>
      </c>
      <c r="F10" t="s">
        <v>75</v>
      </c>
      <c r="G10">
        <v>20.5</v>
      </c>
    </row>
    <row r="11" spans="1:20" x14ac:dyDescent="0.3">
      <c r="A11" t="str">
        <v>fwd_c_additional</v>
      </c>
      <c r="B11">
        <v>38.9</v>
      </c>
      <c r="E11" t="s">
        <v>120</v>
      </c>
      <c r="F11" t="s">
        <v>74</v>
      </c>
      <c r="G11">
        <v>41.3</v>
      </c>
    </row>
    <row r="12" spans="1:20" x14ac:dyDescent="0.3">
      <c r="A12" t="str">
        <v>fwd_d_fixed</v>
      </c>
      <c r="B12">
        <v>45.4</v>
      </c>
      <c r="D12" t="str">
        <f t="shared" si="0"/>
        <v>d</v>
      </c>
      <c r="E12" t="s">
        <v>120</v>
      </c>
      <c r="F12" t="s">
        <v>76</v>
      </c>
      <c r="G12">
        <v>50.7</v>
      </c>
    </row>
    <row r="13" spans="1:20" x14ac:dyDescent="0.3">
      <c r="A13" t="str">
        <v>fwd_d_additional</v>
      </c>
      <c r="B13">
        <v>44.8</v>
      </c>
    </row>
    <row r="14" spans="1:20" x14ac:dyDescent="0.3">
      <c r="A14" t="str">
        <v>fwd_e_fixed</v>
      </c>
      <c r="B14">
        <v>56.6</v>
      </c>
      <c r="D14" t="str">
        <f t="shared" si="0"/>
        <v>e</v>
      </c>
    </row>
    <row r="15" spans="1:20" x14ac:dyDescent="0.3">
      <c r="A15" t="str">
        <v>fwd_e_additional</v>
      </c>
      <c r="B15">
        <v>55.5</v>
      </c>
    </row>
    <row r="16" spans="1:20" x14ac:dyDescent="0.3">
      <c r="A16" t="str">
        <v>rto_a_fixed</v>
      </c>
      <c r="B16">
        <v>13.6</v>
      </c>
      <c r="D16" t="str">
        <f t="shared" si="0"/>
        <v>a</v>
      </c>
    </row>
    <row r="17" spans="1:4" x14ac:dyDescent="0.3">
      <c r="A17" t="str">
        <v>rto_a_additional</v>
      </c>
      <c r="B17">
        <v>23.6</v>
      </c>
      <c r="D17" t="str">
        <f t="shared" si="0"/>
        <v>a</v>
      </c>
    </row>
    <row r="18" spans="1:4" x14ac:dyDescent="0.3">
      <c r="A18" t="str">
        <v>rto_b_fixed</v>
      </c>
      <c r="B18">
        <v>20.5</v>
      </c>
      <c r="D18" t="str">
        <f t="shared" si="0"/>
        <v>b</v>
      </c>
    </row>
    <row r="19" spans="1:4" x14ac:dyDescent="0.3">
      <c r="A19" t="str">
        <v>rto_b_additional</v>
      </c>
      <c r="B19">
        <v>28.3</v>
      </c>
      <c r="D19" t="str">
        <f t="shared" si="0"/>
        <v>b</v>
      </c>
    </row>
    <row r="20" spans="1:4" x14ac:dyDescent="0.3">
      <c r="A20" t="str">
        <v>rto_c_fixed</v>
      </c>
      <c r="B20">
        <v>31.9</v>
      </c>
      <c r="D20" t="str">
        <f t="shared" si="0"/>
        <v>c</v>
      </c>
    </row>
    <row r="21" spans="1:4" x14ac:dyDescent="0.3">
      <c r="A21" t="str">
        <v>rto_c_additional</v>
      </c>
      <c r="B21">
        <v>38.9</v>
      </c>
      <c r="D21" t="str">
        <f t="shared" si="0"/>
        <v>c</v>
      </c>
    </row>
    <row r="22" spans="1:4" x14ac:dyDescent="0.3">
      <c r="A22" t="str">
        <v>rto_d_fixed</v>
      </c>
      <c r="B22">
        <v>41.3</v>
      </c>
      <c r="D22" t="str">
        <f t="shared" si="0"/>
        <v>d</v>
      </c>
    </row>
    <row r="23" spans="1:4" x14ac:dyDescent="0.3">
      <c r="A23" t="str">
        <v>rto_d_additional</v>
      </c>
      <c r="B23">
        <v>44.8</v>
      </c>
      <c r="D23" t="str">
        <f t="shared" si="0"/>
        <v>d</v>
      </c>
    </row>
    <row r="24" spans="1:4" x14ac:dyDescent="0.3">
      <c r="A24" t="str">
        <v>rto_e_fixed</v>
      </c>
      <c r="B24">
        <v>50.7</v>
      </c>
      <c r="D24" t="str">
        <f t="shared" si="0"/>
        <v>e</v>
      </c>
    </row>
    <row r="25" spans="1:4" x14ac:dyDescent="0.3">
      <c r="A25" t="str">
        <v>rto_e_additional</v>
      </c>
      <c r="B25">
        <v>55.5</v>
      </c>
      <c r="D25" t="str">
        <f t="shared" si="0"/>
        <v>e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908E2-F06D-4A2A-84CF-BD7CB27F9A87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C61A82-225E-4F76-B563-232DE06DB1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case study worksheet</vt:lpstr>
      <vt:lpstr>Sheet3</vt:lpstr>
      <vt:lpstr>(abc)SKU Master</vt:lpstr>
      <vt:lpstr>(abc)pincodes</vt:lpstr>
      <vt:lpstr>(abc)Order Report</vt:lpstr>
      <vt:lpstr>(courier)Invoice</vt:lpstr>
      <vt:lpstr>Courier Company - Rates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Sayan Paul</dc:creator>
  <cp:lastModifiedBy>Sayan Paul</cp:lastModifiedBy>
  <dcterms:created xsi:type="dcterms:W3CDTF">2024-12-27T12:39:58Z</dcterms:created>
  <dcterms:modified xsi:type="dcterms:W3CDTF">2025-01-03T15:28:27Z</dcterms:modified>
</cp:coreProperties>
</file>